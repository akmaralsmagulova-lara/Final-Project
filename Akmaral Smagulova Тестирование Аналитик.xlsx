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" sheetId="1" r:id="rId4"/>
    <sheet state="visible" name="Задание 1.2 Диаграмма" sheetId="2" r:id="rId5"/>
    <sheet state="visible" name="Сводная для диаграммы" sheetId="3" r:id="rId6"/>
    <sheet state="visible" name="Лист1" sheetId="4" r:id="rId7"/>
    <sheet state="visible" name="Лист2" sheetId="5" r:id="rId8"/>
  </sheets>
  <definedNames>
    <definedName hidden="1" localSheetId="2" name="_xlnm._FilterDatabase">'Сводная для диаграммы'!$A$1:$A$1000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ewzbdqbd6rP8pKOr3MOVsHLpyMCxghj+QPdHKUy+qkg="/>
    </ext>
  </extLst>
</workbook>
</file>

<file path=xl/sharedStrings.xml><?xml version="1.0" encoding="utf-8"?>
<sst xmlns="http://schemas.openxmlformats.org/spreadsheetml/2006/main" count="1675" uniqueCount="36">
  <si>
    <t>Неделя</t>
  </si>
  <si>
    <t>Территория</t>
  </si>
  <si>
    <t>SUM of Товарооборот, руб</t>
  </si>
  <si>
    <t>SUM of Товарооборот на склад</t>
  </si>
  <si>
    <t>Волгоград</t>
  </si>
  <si>
    <t>Екатеринбург</t>
  </si>
  <si>
    <t>Казань</t>
  </si>
  <si>
    <t>Кемерово</t>
  </si>
  <si>
    <t>Краснодар</t>
  </si>
  <si>
    <t>Москва Восток</t>
  </si>
  <si>
    <t>Москва Запад</t>
  </si>
  <si>
    <t>Нижний Новгород</t>
  </si>
  <si>
    <t>Новосибирск</t>
  </si>
  <si>
    <t>Пермь</t>
  </si>
  <si>
    <t>Ростов-на-Дону</t>
  </si>
  <si>
    <t>Самара</t>
  </si>
  <si>
    <t>Санкт-Петербург Север</t>
  </si>
  <si>
    <t>Санкт-Петербург Юг</t>
  </si>
  <si>
    <t>Тольятти</t>
  </si>
  <si>
    <t>Томск</t>
  </si>
  <si>
    <t>Тюмень</t>
  </si>
  <si>
    <t>Уфа</t>
  </si>
  <si>
    <t>23 Total</t>
  </si>
  <si>
    <t>Grand Total</t>
  </si>
  <si>
    <t>18 Total</t>
  </si>
  <si>
    <t>19 Total</t>
  </si>
  <si>
    <t>20 Total</t>
  </si>
  <si>
    <t>21 Total</t>
  </si>
  <si>
    <t>22 Total</t>
  </si>
  <si>
    <t>Дата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</si>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</sst>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d/MM/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5" xfId="0" applyFont="1" applyNumberFormat="1"/>
    <xf borderId="0" fillId="0" fontId="1" numFmtId="0" xfId="0" applyFont="1"/>
    <xf borderId="0" fillId="0" fontId="1" numFmtId="10" xfId="0" applyFont="1" applyNumberFormat="1"/>
    <xf borderId="0" fillId="2" fontId="1" numFmtId="0" xfId="0" applyFill="1" applyFont="1"/>
    <xf borderId="0" fillId="2" fontId="1" numFmtId="10" xfId="0" applyFont="1" applyNumberFormat="1"/>
    <xf borderId="1" fillId="3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3" fontId="2" numFmtId="165" xfId="0" applyAlignment="1" applyBorder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4" fontId="3" numFmtId="164" xfId="0" applyBorder="1" applyFill="1" applyFont="1" applyNumberFormat="1"/>
    <xf borderId="2" fillId="4" fontId="3" numFmtId="0" xfId="0" applyBorder="1" applyFont="1"/>
    <xf borderId="0" fillId="0" fontId="4" numFmtId="0" xfId="0" applyFont="1"/>
    <xf borderId="4" fillId="0" fontId="3" numFmtId="164" xfId="0" applyBorder="1" applyFont="1" applyNumberFormat="1"/>
    <xf borderId="5" fillId="0" fontId="3" numFmtId="0" xfId="0" applyBorder="1" applyFont="1"/>
    <xf borderId="6" fillId="0" fontId="3" numFmtId="164" xfId="0" applyBorder="1" applyFont="1" applyNumberFormat="1"/>
    <xf borderId="7" fillId="0" fontId="3" numFmtId="0" xfId="0" applyBorder="1" applyFont="1"/>
    <xf borderId="0" fillId="0" fontId="3" numFmtId="164" xfId="0" applyFont="1" applyNumberForma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Понедельная Динамика Товарооборота на склад по всем Территориям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'Задание 1.2 Диаграмма'!$D$1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'Задание 1.2 Диаграмма'!$A$2:$A$7</c:f>
            </c:strRef>
          </c:cat>
          <c:val>
            <c:numRef>
              <c:f>'Задание 1.2 Диаграмма'!$D$2:$D$7</c:f>
              <c:numCache/>
            </c:numRef>
          </c:val>
        </c:ser>
        <c:axId val="514008530"/>
        <c:axId val="979921345"/>
      </c:barChart>
      <c:catAx>
        <c:axId val="5140085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921345"/>
      </c:catAx>
      <c:valAx>
        <c:axId val="9799213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Сумма Товарооборота на склад</a:t>
                </a:r>
              </a:p>
            </c:rich>
          </c:tx>
          <c:overlay val="0"/>
        </c:title>
        <c:numFmt formatCode="#,##0.00[$ ₽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0085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0</xdr:row>
      <xdr:rowOff>0</xdr:rowOff>
    </xdr:from>
    <xdr:ext cx="7029450" cy="4867275"/>
    <xdr:graphicFrame>
      <xdr:nvGraphicFramePr>
        <xdr:cNvPr id="74520643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9" sheet="Лист1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tring="0" containsBlank="1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  <m/>
      </sharedItems>
    </cacheField>
    <cacheField name="Товарооборот, руб" numFmtId="0">
      <sharedItems containsString="0" containsBlank="1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  <m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tring="0" containsBlank="1" containsNumber="1" containsInteger="1">
        <m/>
        <n v="4923.0"/>
        <n v="5465.0"/>
        <n v="1846.0"/>
        <n v="1539.0"/>
        <n v="1505.0"/>
        <n v="12306.0"/>
        <n v="12943.0"/>
        <n v="1439.0"/>
        <n v="636.0"/>
        <n v="780.0"/>
        <n v="20914.0"/>
        <n v="16450.0"/>
        <n v="580.0"/>
        <n v="4937.0"/>
        <n v="5378.0"/>
        <n v="1676.0"/>
        <n v="1684.0"/>
        <n v="1599.0"/>
        <n v="12747.0"/>
        <n v="13186.0"/>
        <n v="1534.0"/>
        <n v="659.0"/>
        <n v="786.0"/>
        <n v="21863.0"/>
        <n v="17368.0"/>
        <n v="502.0"/>
        <n v="5143.0"/>
        <n v="5120.0"/>
        <n v="1756.0"/>
        <n v="1712.0"/>
        <n v="1662.0"/>
        <n v="12817.0"/>
        <n v="13251.0"/>
        <n v="1499.0"/>
        <n v="644.0"/>
        <n v="791.0"/>
        <n v="262.0"/>
        <n v="22368.0"/>
        <n v="18042.0"/>
        <n v="448.0"/>
        <n v="5457.0"/>
        <n v="6118.0"/>
        <n v="2468.0"/>
        <n v="1826.0"/>
        <n v="1987.0"/>
        <n v="14205.0"/>
        <n v="15222.0"/>
        <n v="1497.0"/>
        <n v="721.0"/>
        <n v="996.0"/>
        <n v="294.0"/>
        <n v="20602.0"/>
        <n v="17002.0"/>
        <n v="554.0"/>
        <n v="3442.0"/>
        <n v="4157.0"/>
        <n v="1613.0"/>
        <n v="1708.0"/>
        <n v="1206.0"/>
        <n v="11622.0"/>
        <n v="12429.0"/>
        <n v="1217.0"/>
        <n v="567.0"/>
        <n v="751.0"/>
        <n v="274.0"/>
        <n v="16932.0"/>
        <n v="14009.0"/>
        <n v="416.0"/>
        <n v="4751.0"/>
        <n v="5155.0"/>
        <n v="1716.0"/>
        <n v="1520.0"/>
        <n v="1314.0"/>
        <n v="14823.0"/>
        <n v="15277.0"/>
        <n v="1402.0"/>
        <n v="585.0"/>
        <n v="784.0"/>
        <n v="455.0"/>
        <n v="18861.0"/>
        <n v="15778.0"/>
        <n v="402.0"/>
        <n v="4508.0"/>
        <n v="4968.0"/>
        <n v="1804.0"/>
        <n v="1519.0"/>
        <n v="1479.0"/>
        <n v="13606.0"/>
        <n v="14423.0"/>
        <n v="1582.0"/>
        <n v="622.0"/>
        <n v="750.0"/>
        <n v="390.0"/>
        <n v="20495.0"/>
        <n v="16525.0"/>
        <n v="462.0"/>
        <n v="4575.0"/>
        <n v="5188.0"/>
        <n v="1757.0"/>
        <n v="1773.0"/>
        <n v="1622.0"/>
        <n v="12775.0"/>
        <n v="13469.0"/>
        <n v="1417.0"/>
        <n v="922.0"/>
        <n v="18944.0"/>
        <n v="15665.0"/>
        <n v="511.0"/>
        <n v="4384.0"/>
        <n v="4709.0"/>
        <n v="1747.0"/>
        <n v="1784.0"/>
        <n v="1509.0"/>
        <n v="13406.0"/>
        <n v="14103.0"/>
        <n v="701.0"/>
        <n v="839.0"/>
        <n v="467.0"/>
        <n v="20218.0"/>
        <n v="16376.0"/>
        <n v="465.0"/>
        <n v="4826.0"/>
        <n v="4903.0"/>
        <n v="1879.0"/>
        <n v="1542.0"/>
        <n v="1580.0"/>
        <n v="12743.0"/>
        <n v="13495.0"/>
        <n v="1530.0"/>
        <n v="676.0"/>
        <n v="805.0"/>
        <n v="480.0"/>
        <n v="18014.0"/>
        <n v="14582.0"/>
        <n v="563.0"/>
        <n v="4199.0"/>
        <n v="4635.0"/>
        <n v="1957.0"/>
        <n v="1646.0"/>
        <n v="13563.0"/>
        <n v="14098.0"/>
        <n v="1522.0"/>
        <n v="703.0"/>
        <n v="879.0"/>
        <n v="492.0"/>
        <n v="24620.0"/>
        <n v="20452.0"/>
        <n v="638.0"/>
        <n v="5413.0"/>
        <n v="4556.0"/>
        <n v="1891.0"/>
        <n v="1735.0"/>
        <n v="11288.0"/>
        <n v="12016.0"/>
        <n v="1851.0"/>
        <n v="654.0"/>
        <n v="849.0"/>
        <n v="623.0"/>
        <n v="20132.0"/>
        <n v="16420.0"/>
        <n v="5746.0"/>
        <n v="5495.0"/>
        <n v="2120.0"/>
        <n v="2016.0"/>
        <n v="1836.0"/>
        <n v="13832.0"/>
        <n v="14569.0"/>
        <n v="1848.0"/>
        <n v="792.0"/>
        <n v="950.0"/>
        <n v="706.0"/>
        <n v="20368.0"/>
        <n v="16437.0"/>
        <n v="642.0"/>
        <n v="4150.0"/>
        <n v="1916.0"/>
        <n v="1597.0"/>
        <n v="1527.0"/>
        <n v="10570.0"/>
        <n v="11100.0"/>
        <n v="2530.0"/>
        <n v="812.0"/>
        <n v="684.0"/>
        <n v="18066.0"/>
        <n v="14043.0"/>
        <n v="494.0"/>
        <n v="4418.0"/>
        <n v="4800.0"/>
        <n v="1926.0"/>
        <n v="1656.0"/>
        <n v="1598.0"/>
        <n v="11614.0"/>
        <n v="12000.0"/>
        <n v="1649.0"/>
        <n v="845.0"/>
        <n v="624.0"/>
        <n v="21106.0"/>
        <n v="16387.0"/>
        <n v="526.0"/>
        <n v="4967.0"/>
        <n v="5251.0"/>
        <n v="2061.0"/>
        <n v="1698.0"/>
        <n v="1605.0"/>
        <n v="11522.0"/>
        <n v="12007.0"/>
        <n v="1625.0"/>
        <n v="854.0"/>
        <n v="898.0"/>
        <n v="599.0"/>
        <n v="19965.0"/>
        <n v="15304.0"/>
        <n v="612.0"/>
        <n v="4285.0"/>
        <n v="4695.0"/>
        <n v="1993.0"/>
        <n v="1706.0"/>
        <n v="1635.0"/>
        <n v="11194.0"/>
        <n v="11935.0"/>
        <n v="1675.0"/>
        <n v="834.0"/>
        <n v="890.0"/>
        <n v="20247.0"/>
        <n v="15804.0"/>
        <n v="627.0"/>
        <n v="4862.0"/>
        <n v="5184.0"/>
        <n v="2255.0"/>
        <n v="1780.0"/>
        <n v="12791.0"/>
        <n v="13544.0"/>
        <n v="1940.0"/>
        <n v="817.0"/>
        <n v="980.0"/>
        <n v="688.0"/>
        <n v="21862.0"/>
        <n v="17808.0"/>
        <n v="743.0"/>
        <n v="5286.0"/>
        <n v="5593.0"/>
        <n v="2427.0"/>
        <n v="2145.0"/>
        <n v="2039.0"/>
        <n v="13170.0"/>
        <n v="14049.0"/>
        <n v="2080.0"/>
        <n v="920.0"/>
        <n v="1111.0"/>
        <n v="747.0"/>
        <n v="22291.0"/>
        <n v="17914.0"/>
        <n v="760.0"/>
        <n v="4918.0"/>
        <n v="5206.0"/>
        <n v="2054.0"/>
        <n v="1874.0"/>
        <n v="1790.0"/>
        <n v="11128.0"/>
        <n v="11698.0"/>
        <n v="1871.0"/>
        <n v="859.0"/>
        <n v="971.0"/>
        <n v="692.0"/>
        <n v="20079.0"/>
        <n v="15744.0"/>
        <n v="591.0"/>
        <n v="4885.0"/>
        <n v="5165.0"/>
        <n v="2136.0"/>
        <n v="1834.0"/>
        <n v="1741.0"/>
        <n v="12012.0"/>
        <n v="12460.0"/>
        <n v="1858.0"/>
        <n v="864.0"/>
        <n v="925.0"/>
        <n v="729.0"/>
        <n v="20449.0"/>
        <n v="16110.0"/>
        <n v="645.0"/>
        <n v="5094.0"/>
        <n v="5389.0"/>
        <n v="2245.0"/>
        <n v="1860.0"/>
        <n v="1831.0"/>
        <n v="13070.0"/>
        <n v="13867.0"/>
        <n v="1999.0"/>
        <n v="857.0"/>
        <n v="1012.0"/>
        <n v="930.0"/>
        <n v="20771.0"/>
        <n v="16191.0"/>
        <n v="649.0"/>
        <n v="5914.0"/>
        <n v="5698.0"/>
        <n v="2410.0"/>
        <n v="1921.0"/>
        <n v="1823.0"/>
        <n v="13298.0"/>
        <n v="13792.0"/>
        <n v="1889.0"/>
        <n v="1050.0"/>
        <n v="21674.0"/>
        <n v="17095.0"/>
        <n v="745.0"/>
        <n v="4816.0"/>
        <n v="5207.0"/>
        <n v="2335.0"/>
        <n v="1787.0"/>
        <n v="1650.0"/>
        <n v="13240.0"/>
        <n v="14005.0"/>
        <n v="1949.0"/>
        <n v="888.0"/>
        <n v="1045.0"/>
        <n v="749.0"/>
        <n v="20911.0"/>
        <n v="16373.0"/>
        <n v="677.0"/>
        <n v="4857.0"/>
        <n v="5965.0"/>
        <n v="2861.0"/>
        <n v="2046.0"/>
        <n v="1859.0"/>
        <n v="13014.0"/>
        <n v="14050.0"/>
        <n v="2306.0"/>
        <n v="985.0"/>
        <n v="1268.0"/>
        <n v="903.0"/>
        <n v="21427.0"/>
        <n v="17088.0"/>
        <n v="965.0"/>
        <n v="5651.0"/>
        <n v="6276.0"/>
        <n v="2460.0"/>
        <n v="2340.0"/>
        <n v="2195.0"/>
        <n v="16221.0"/>
        <n v="17295.0"/>
        <n v="2266.0"/>
        <n v="1031.0"/>
        <n v="1294.0"/>
        <n v="840.0"/>
        <n v="24574.0"/>
        <n v="19856.0"/>
        <n v="828.0"/>
        <n v="4915.0"/>
        <n v="5035.0"/>
        <n v="2254.0"/>
        <n v="1868.0"/>
        <n v="12211.0"/>
        <n v="12822.0"/>
        <n v="2015.0"/>
        <n v="1006.0"/>
        <n v="1128.0"/>
        <n v="779.0"/>
        <n v="21004.0"/>
        <n v="16432.0"/>
        <n v="639.0"/>
        <n v="4641.0"/>
        <n v="5210.0"/>
        <n v="2330.0"/>
        <n v="2087.0"/>
        <n v="1899.0"/>
        <n v="12336.0"/>
        <n v="12983.0"/>
        <n v="2011.0"/>
        <n v="989.0"/>
        <n v="1142.0"/>
        <n v="835.0"/>
        <n v="20358.0"/>
        <n v="15822.0"/>
        <n v="739.0"/>
        <n v="4770.0"/>
        <n v="5493.0"/>
        <n v="2418.0"/>
        <n v="2044.0"/>
        <n v="1814.0"/>
        <n v="14482.0"/>
        <n v="15369.0"/>
        <n v="2036.0"/>
        <n v="914.0"/>
        <n v="1140.0"/>
        <n v="21153.0"/>
        <n v="16459.0"/>
        <n v="577.0"/>
        <n v="4951.0"/>
        <n v="5330.0"/>
        <n v="2430.0"/>
        <n v="2079.0"/>
        <n v="1873.0"/>
        <n v="13091.0"/>
        <n v="13942.0"/>
        <n v="962.0"/>
        <n v="1203.0"/>
        <n v="809.0"/>
        <n v="21384.0"/>
        <n v="17115.0"/>
        <n v="757.0"/>
        <n v="409.0"/>
        <n v="4840.0"/>
        <n v="5355.0"/>
        <n v="2454.0"/>
        <n v="1886.0"/>
        <n v="1875.0"/>
        <n v="12409.0"/>
        <n v="12854.0"/>
        <n v="2088.0"/>
        <n v="1020.0"/>
        <n v="1097.0"/>
        <n v="876.0"/>
        <n v="464.0"/>
        <n v="20868.0"/>
        <n v="16453.0"/>
        <n v="420.0"/>
        <n v="5672.0"/>
        <n v="5751.0"/>
        <n v="2597.0"/>
        <n v="2111.0"/>
        <n v="2064.0"/>
        <n v="14031.0"/>
        <n v="14507.0"/>
        <n v="2249.0"/>
        <n v="1014.0"/>
        <n v="1296.0"/>
        <n v="981.0"/>
        <n v="400.0"/>
        <n v="25828.0"/>
        <n v="22403.0"/>
        <n v="873.0"/>
        <n v="491.0"/>
        <n v="6645.0"/>
        <n v="6735.0"/>
        <n v="2793.0"/>
        <n v="2174.0"/>
        <n v="14590.0"/>
        <n v="15030.0"/>
        <n v="2451.0"/>
        <n v="1216.0"/>
        <n v="1697.0"/>
        <n v="1048.0"/>
        <n v="490.0"/>
        <n v="24325.0"/>
        <n v="20243.0"/>
        <n v="865.0"/>
        <n v="532.0"/>
        <n v="5215.0"/>
        <n v="5760.0"/>
        <n v="2522.0"/>
        <n v="2271.0"/>
        <n v="2056.0"/>
        <n v="13106.0"/>
        <n v="13684.0"/>
        <n v="2060.0"/>
        <n v="1029.0"/>
        <n v="1186.0"/>
        <n v="917.0"/>
        <n v="441.0"/>
        <n v="21392.0"/>
        <n v="17235.0"/>
        <n v="345.0"/>
        <n v="530.0"/>
        <n v="261.0"/>
        <n v="4722.0"/>
        <n v="5468.0"/>
        <n v="2531.0"/>
        <n v="2025.0"/>
        <n v="11864.0"/>
        <n v="12299.0"/>
        <n v="923.0"/>
        <n v="1185.0"/>
        <n v="1019.0"/>
        <n v="453.0"/>
        <n v="20325.0"/>
        <n v="16285.0"/>
        <n v="719.0"/>
        <n v="500.0"/>
        <n v="237.0"/>
      </sharedItems>
    </cacheField>
    <cacheField name="Количество клиентов" numFmtId="0">
      <sharedItems containsString="0" containsBlank="1" containsNumber="1" containsInteger="1">
        <m/>
        <n v="4560.0"/>
        <n v="5096.0"/>
        <n v="1681.0"/>
        <n v="1404.0"/>
        <n v="1368.0"/>
        <n v="11532.0"/>
        <n v="12072.0"/>
        <n v="1265.0"/>
        <n v="547.0"/>
        <n v="690.0"/>
        <n v="19479.0"/>
        <n v="15320.0"/>
        <n v="506.0"/>
        <n v="4561.0"/>
        <n v="4985.0"/>
        <n v="1516.0"/>
        <n v="1528.0"/>
        <n v="1450.0"/>
        <n v="11884.0"/>
        <n v="12251.0"/>
        <n v="1369.0"/>
        <n v="575.0"/>
        <n v="695.0"/>
        <n v="20160.0"/>
        <n v="16077.0"/>
        <n v="433.0"/>
        <n v="4715.0"/>
        <n v="4737.0"/>
        <n v="1586.0"/>
        <n v="1552.0"/>
        <n v="1506.0"/>
        <n v="11865.0"/>
        <n v="12255.0"/>
        <n v="1322.0"/>
        <n v="550.0"/>
        <n v="691.0"/>
        <n v="195.0"/>
        <n v="20625.0"/>
        <n v="16631.0"/>
        <n v="376.0"/>
        <n v="4916.0"/>
        <n v="5564.0"/>
        <n v="2221.0"/>
        <n v="1633.0"/>
        <n v="1791.0"/>
        <n v="13026.0"/>
        <n v="13873.0"/>
        <n v="1291.0"/>
        <n v="625.0"/>
        <n v="888.0"/>
        <n v="225.0"/>
        <n v="18845.0"/>
        <n v="15570.0"/>
        <n v="472.0"/>
        <n v="3147.0"/>
        <n v="3823.0"/>
        <n v="1457.0"/>
        <n v="1534.0"/>
        <n v="1080.0"/>
        <n v="10754.0"/>
        <n v="11477.0"/>
        <n v="1048.0"/>
        <n v="493.0"/>
        <n v="651.0"/>
        <n v="203.0"/>
        <n v="15601.0"/>
        <n v="12920.0"/>
        <n v="341.0"/>
        <n v="4370.0"/>
        <n v="4762.0"/>
        <n v="1561.0"/>
        <n v="1373.0"/>
        <n v="1192.0"/>
        <n v="13751.0"/>
        <n v="14163.0"/>
        <n v="1234.0"/>
        <n v="502.0"/>
        <n v="696.0"/>
        <n v="384.0"/>
        <n v="17420.0"/>
        <n v="14624.0"/>
        <n v="333.0"/>
        <n v="4149.0"/>
        <n v="4596.0"/>
        <n v="1638.0"/>
        <n v="1372.0"/>
        <n v="1346.0"/>
        <n v="12697.0"/>
        <n v="13432.0"/>
        <n v="1403.0"/>
        <n v="538.0"/>
        <n v="647.0"/>
        <n v="315.0"/>
        <n v="18964.0"/>
        <n v="15310.0"/>
        <n v="396.0"/>
        <n v="4206.0"/>
        <n v="4800.0"/>
        <n v="1596.0"/>
        <n v="1604.0"/>
        <n v="1482.0"/>
        <n v="11887.0"/>
        <n v="12486.0"/>
        <n v="1245.0"/>
        <n v="658.0"/>
        <n v="823.0"/>
        <n v="381.0"/>
        <n v="17541.0"/>
        <n v="14501.0"/>
        <n v="437.0"/>
        <n v="4025.0"/>
        <n v="4348.0"/>
        <n v="1570.0"/>
        <n v="1632.0"/>
        <n v="1374.0"/>
        <n v="12518.0"/>
        <n v="13118.0"/>
        <n v="1323.0"/>
        <n v="611.0"/>
        <n v="733.0"/>
        <n v="389.0"/>
        <n v="18647.0"/>
        <n v="15197.0"/>
        <n v="390.0"/>
        <n v="4426.0"/>
        <n v="4527.0"/>
        <n v="1695.0"/>
        <n v="1405.0"/>
        <n v="1435.0"/>
        <n v="11858.0"/>
        <n v="12517.0"/>
        <n v="1338.0"/>
        <n v="591.0"/>
        <n v="703.0"/>
        <n v="398.0"/>
        <n v="16675.0"/>
        <n v="13512.0"/>
        <n v="486.0"/>
        <n v="3867.0"/>
        <n v="4266.0"/>
        <n v="1755.0"/>
        <n v="1492.0"/>
        <n v="1380.0"/>
        <n v="12604.0"/>
        <n v="13106.0"/>
        <n v="1340.0"/>
        <n v="609.0"/>
        <n v="768.0"/>
        <n v="412.0"/>
        <n v="22641.0"/>
        <n v="18857.0"/>
        <n v="4959.0"/>
        <n v="4220.0"/>
        <n v="1709.0"/>
        <n v="1568.0"/>
        <n v="1412.0"/>
        <n v="10492.0"/>
        <n v="11137.0"/>
        <n v="1635.0"/>
        <n v="570.0"/>
        <n v="740.0"/>
        <n v="535.0"/>
        <n v="18617.0"/>
        <n v="15169.0"/>
        <n v="559.0"/>
        <n v="5277.0"/>
        <n v="5093.0"/>
        <n v="1921.0"/>
        <n v="1846.0"/>
        <n v="1680.0"/>
        <n v="12864.0"/>
        <n v="13566.0"/>
        <n v="1649.0"/>
        <n v="848.0"/>
        <n v="608.0"/>
        <n v="18884.0"/>
        <n v="15285.0"/>
        <n v="556.0"/>
        <n v="3838.0"/>
        <n v="4483.0"/>
        <n v="1733.0"/>
        <n v="1389.0"/>
        <n v="9926.0"/>
        <n v="10407.0"/>
        <n v="2270.0"/>
        <n v="564.0"/>
        <n v="714.0"/>
        <n v="585.0"/>
        <n v="16883.0"/>
        <n v="13167.0"/>
        <n v="421.0"/>
        <n v="4088.0"/>
        <n v="4470.0"/>
        <n v="1745.0"/>
        <n v="1454.0"/>
        <n v="10862.0"/>
        <n v="11194.0"/>
        <n v="1460.0"/>
        <n v="659.0"/>
        <n v="743.0"/>
        <n v="19651.0"/>
        <n v="15322.0"/>
        <n v="448.0"/>
        <n v="4583.0"/>
        <n v="4853.0"/>
        <n v="1876.0"/>
        <n v="1554.0"/>
        <n v="1447.0"/>
        <n v="10803.0"/>
        <n v="11245.0"/>
        <n v="1444.0"/>
        <n v="756.0"/>
        <n v="795.0"/>
        <n v="515.0"/>
        <n v="18573.0"/>
        <n v="14315.0"/>
        <n v="530.0"/>
        <n v="3950.0"/>
        <n v="4372.0"/>
        <n v="1796.0"/>
        <n v="1548.0"/>
        <n v="1487.0"/>
        <n v="10554.0"/>
        <n v="11178.0"/>
        <n v="1475.0"/>
        <n v="735.0"/>
        <n v="777.0"/>
        <n v="548.0"/>
        <n v="18812.0"/>
        <n v="14738.0"/>
        <n v="545.0"/>
        <n v="4476.0"/>
        <n v="4778.0"/>
        <n v="2045.0"/>
        <n v="1742.0"/>
        <n v="1615.0"/>
        <n v="11950.0"/>
        <n v="12643.0"/>
        <n v="1715.0"/>
        <n v="718.0"/>
        <n v="867.0"/>
        <n v="598.0"/>
        <n v="20235.0"/>
        <n v="16486.0"/>
        <n v="652.0"/>
        <n v="4867.0"/>
        <n v="5177.0"/>
        <n v="2213.0"/>
        <n v="1947.0"/>
        <n v="1868.0"/>
        <n v="12299.0"/>
        <n v="1844.0"/>
        <n v="818.0"/>
        <n v="992.0"/>
        <n v="20635.0"/>
        <n v="672.0"/>
        <n v="4554.0"/>
        <n v="4843.0"/>
        <n v="1883.0"/>
        <n v="1705.0"/>
        <n v="10467.0"/>
        <n v="10989.0"/>
        <n v="1660.0"/>
        <n v="746.0"/>
        <n v="856.0"/>
        <n v="18721.0"/>
        <n v="14685.0"/>
        <n v="513.0"/>
        <n v="4502.0"/>
        <n v="4813.0"/>
        <n v="1597.0"/>
        <n v="11308.0"/>
        <n v="11665.0"/>
        <n v="1648.0"/>
        <n v="765.0"/>
        <n v="816.0"/>
        <n v="636.0"/>
        <n v="19060.0"/>
        <n v="14992.0"/>
        <n v="565.0"/>
        <n v="4716.0"/>
        <n v="5024.0"/>
        <n v="2053.0"/>
        <n v="1704.0"/>
        <n v="1667.0"/>
        <n v="12244.0"/>
        <n v="12987.0"/>
        <n v="1799.0"/>
        <n v="757.0"/>
        <n v="900.0"/>
        <n v="827.0"/>
        <n v="19338.0"/>
        <n v="15102.0"/>
        <n v="568.0"/>
        <n v="5384.0"/>
        <n v="5258.0"/>
        <n v="2202.0"/>
        <n v="1767.0"/>
        <n v="1678.0"/>
        <n v="12428.0"/>
        <n v="12834.0"/>
        <n v="1690.0"/>
        <n v="794.0"/>
        <n v="938.0"/>
        <n v="664.0"/>
        <n v="20155.0"/>
        <n v="15919.0"/>
        <n v="654.0"/>
        <n v="4452.0"/>
        <n v="4868.0"/>
        <n v="2126.0"/>
        <n v="1626.0"/>
        <n v="1505.0"/>
        <n v="12360.0"/>
        <n v="13002.0"/>
        <n v="1724.0"/>
        <n v="786.0"/>
        <n v="930.0"/>
        <n v="19358.0"/>
        <n v="15223.0"/>
        <n v="4456.0"/>
        <n v="5533.0"/>
        <n v="2612.0"/>
        <n v="1853.0"/>
        <n v="1697.0"/>
        <n v="12095.0"/>
        <n v="13027.0"/>
        <n v="2054.0"/>
        <n v="861.0"/>
        <n v="1129.0"/>
        <n v="792.0"/>
        <n v="19799.0"/>
        <n v="15804.0"/>
        <n v="5212.0"/>
        <n v="5801.0"/>
        <n v="2226.0"/>
        <n v="2146.0"/>
        <n v="1999.0"/>
        <n v="15065.0"/>
        <n v="16010.0"/>
        <n v="1993.0"/>
        <n v="918.0"/>
        <n v="1155.0"/>
        <n v="725.0"/>
        <n v="22609.0"/>
        <n v="18325.0"/>
        <n v="734.0"/>
        <n v="4562.0"/>
        <n v="4683.0"/>
        <n v="2061.0"/>
        <n v="1829.0"/>
        <n v="1706.0"/>
        <n v="11427.0"/>
        <n v="11916.0"/>
        <n v="1803.0"/>
        <n v="904.0"/>
        <n v="1001.0"/>
        <n v="673.0"/>
        <n v="19556.0"/>
        <n v="15345.0"/>
        <n v="557.0"/>
        <n v="4274.0"/>
        <n v="4841.0"/>
        <n v="2142.0"/>
        <n v="1914.0"/>
        <n v="1738.0"/>
        <n v="11519.0"/>
        <n v="12056.0"/>
        <n v="887.0"/>
        <n v="1020.0"/>
        <n v="736.0"/>
        <n v="18890.0"/>
        <n v="14753.0"/>
        <n v="642.0"/>
        <n v="4424.0"/>
        <n v="5119.0"/>
        <n v="2215.0"/>
        <n v="1863.0"/>
        <n v="1655.0"/>
        <n v="13510.0"/>
        <n v="14299.0"/>
        <n v="1790.0"/>
        <n v="804.0"/>
        <n v="1016.0"/>
        <n v="711.0"/>
        <n v="19673.0"/>
        <n v="15355.0"/>
        <n v="601.0"/>
        <n v="4584.0"/>
        <n v="4977.0"/>
        <n v="2216.0"/>
        <n v="1893.0"/>
        <n v="12216.0"/>
        <n v="12986.0"/>
        <n v="1856.0"/>
        <n v="859.0"/>
        <n v="1077.0"/>
        <n v="702.0"/>
        <n v="19897.0"/>
        <n v="15962.0"/>
        <n v="660.0"/>
        <n v="329.0"/>
        <n v="4475.0"/>
        <n v="4969.0"/>
        <n v="2239.0"/>
        <n v="1736.0"/>
        <n v="1701.0"/>
        <n v="11582.0"/>
        <n v="11954.0"/>
        <n v="1848.0"/>
        <n v="911.0"/>
        <n v="968.0"/>
        <n v="762.0"/>
        <n v="19342.0"/>
        <n v="15289.0"/>
        <n v="697.0"/>
        <n v="347.0"/>
        <n v="5198.0"/>
        <n v="5319.0"/>
        <n v="2379.0"/>
        <n v="1917.0"/>
        <n v="1896.0"/>
        <n v="12943.0"/>
        <n v="13386.0"/>
        <n v="2000.0"/>
        <n v="893.0"/>
        <n v="1153.0"/>
        <n v="23974.0"/>
        <n v="20676.0"/>
        <n v="770.0"/>
        <n v="411.0"/>
        <n v="6122.0"/>
        <n v="6264.0"/>
        <n v="2539.0"/>
        <n v="2376.0"/>
        <n v="1957.0"/>
        <n v="13551.0"/>
        <n v="13956.0"/>
        <n v="2178.0"/>
        <n v="1101.0"/>
        <n v="1499.0"/>
        <n v="409.0"/>
        <n v="22469.0"/>
        <n v="18711.0"/>
        <n v="763.0"/>
        <n v="449.0"/>
        <n v="4848.0"/>
        <n v="5367.0"/>
        <n v="2295.0"/>
        <n v="2085.0"/>
        <n v="1879.0"/>
        <n v="12164.0"/>
        <n v="12690.0"/>
        <n v="1826.0"/>
        <n v="925.0"/>
        <n v="1054.0"/>
        <n v="802.0"/>
        <n v="368.0"/>
        <n v="19869.0"/>
        <n v="16052.0"/>
        <n v="655.0"/>
        <n v="255.0"/>
        <n v="447.0"/>
        <n v="188.0"/>
        <n v="4352.0"/>
        <n v="5081.0"/>
        <n v="2296.0"/>
        <n v="1849.0"/>
        <n v="1720.0"/>
        <n v="11071.0"/>
        <n v="11448.0"/>
        <n v="1899.0"/>
        <n v="824.0"/>
        <n v="1042.0"/>
        <n v="895.0"/>
        <n v="370.0"/>
        <n v="18935.0"/>
        <n v="15130.0"/>
        <n v="627.0"/>
        <n v="224.0"/>
        <n v="418.0"/>
        <n v="175.0"/>
      </sharedItems>
    </cacheField>
    <cacheField name="Товарооборот на склад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  <n v="0.0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Задание 1" cacheId="0" dataCaption="" compact="0" compactData="0">
  <location ref="A1:D21" firstHeaderRow="0" firstDataRow="3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Row" compact="0" outline="0" multipleItemSelectionAllowed="1" showAll="0" sortType="descending">
      <items>
        <item x="5"/>
        <item h="1" x="0"/>
        <item h="1" x="2"/>
        <item h="1" x="1"/>
        <item h="1" x="3"/>
        <item h="1" x="4"/>
        <item t="default"/>
      </items>
    </pivotField>
  </pivotFields>
  <rowFields>
    <field x="8"/>
    <field x="1"/>
  </rowFields>
  <colFields>
    <field x="-2"/>
  </colFields>
  <dataFields>
    <dataField name="SUM of Товарооборот, руб" fld="3" showDataAs="percentOfTotal" baseField="0" numFmtId="10"/>
    <dataField name="SUM of Товарооборот на склад" fld="7" baseField="0"/>
  </dataFields>
</pivotTableDefinition>
</file>

<file path=xl/pivotTables/pivotTable2.xml><?xml version="1.0" encoding="utf-8"?>
<pivotTableDefinition xmlns="http://schemas.openxmlformats.org/spreadsheetml/2006/main" name="Задание 1.2 Диаграмма" cacheId="0" dataCaption="" compact="0" compactData="0">
  <location ref="A1:D8" firstHeaderRow="0" firstDataRow="3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Row" compact="0" outline="0" multipleItemSelectionAllowed="1" showAll="0" sortType="ascending">
      <items>
        <item sd="0" x="4"/>
        <item sd="0" x="3"/>
        <item sd="0" x="1"/>
        <item sd="0" x="2"/>
        <item sd="0" x="0"/>
        <item sd="0" x="5"/>
        <item t="default"/>
      </items>
    </pivotField>
  </pivotFields>
  <rowFields>
    <field x="8"/>
    <field x="1"/>
  </rowFields>
  <colFields>
    <field x="-2"/>
  </colFields>
  <dataFields>
    <dataField name="SUM of Товарооборот, руб" fld="3" showDataAs="percentOfTotal" baseField="0" numFmtId="10"/>
    <dataField name="SUM of Товарооборот на склад" fld="7" baseField="0"/>
  </dataFields>
</pivotTableDefinition>
</file>

<file path=xl/pivotTables/pivotTable3.xml><?xml version="1.0" encoding="utf-8"?>
<pivotTableDefinition xmlns="http://schemas.openxmlformats.org/spreadsheetml/2006/main" name="Задание 1.2 Диаграмма 2" cacheId="0" dataCaption="" compact="0" compactData="0">
  <location ref="F43:I50" firstHeaderRow="0" firstDataRow="3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Row" compact="0" outline="0" multipleItemSelectionAllowed="1" showAll="0" sortType="ascending">
      <items>
        <item sd="0" x="4"/>
        <item sd="0" x="3"/>
        <item sd="0" x="1"/>
        <item sd="0" x="2"/>
        <item sd="0" x="0"/>
        <item sd="0" x="5"/>
        <item t="default"/>
      </items>
    </pivotField>
  </pivotFields>
  <rowFields>
    <field x="8"/>
    <field x="1"/>
  </rowFields>
  <colFields>
    <field x="-2"/>
  </colFields>
  <dataFields>
    <dataField name="SUM of Товарооборот, руб" fld="3" showDataAs="percentOfTotal" baseField="0" numFmtId="10"/>
    <dataField name="SUM of Товарооборот на склад" fld="7" baseField="0"/>
  </dataFields>
</pivotTableDefinition>
</file>

<file path=xl/pivotTables/pivotTable4.xml><?xml version="1.0" encoding="utf-8"?>
<pivotTableDefinition xmlns="http://schemas.openxmlformats.org/spreadsheetml/2006/main" name="Сводная для диаграммы" cacheId="0" dataCaption="" compact="0" compactData="0">
  <location ref="A1:D100" firstHeaderRow="0" firstDataRow="3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8"/>
    <field x="1"/>
  </rowFields>
  <colFields>
    <field x="-2"/>
  </colFields>
  <dataFields>
    <dataField name="SUM of Товарооборот, руб" fld="3" showDataAs="percentOfTotal" baseField="0" numFmtId="10"/>
    <dataField name="SUM of Товарооборот на склад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3.29"/>
    <col customWidth="1" min="3" max="3" width="26.43"/>
    <col customWidth="1" min="4" max="4" width="36.0"/>
    <col customWidth="1" min="5" max="5" width="29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43"/>
    <row r="44"/>
    <row r="45"/>
    <row r="46"/>
    <row r="47"/>
    <row r="48"/>
    <row r="49"/>
    <row r="50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3.29"/>
    <col customWidth="1" min="3" max="3" width="26.43"/>
    <col customWidth="1" min="4" max="4" width="36.0"/>
    <col customWidth="1" min="5" max="5" width="29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autoFilter ref="$A$1:$A$100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9" width="10.86"/>
    <col customWidth="1" min="10" max="24" width="8.71"/>
  </cols>
  <sheetData>
    <row r="1" ht="14.25" customHeight="1">
      <c r="A1" s="6" t="s">
        <v>29</v>
      </c>
      <c r="B1" s="7" t="s">
        <v>1</v>
      </c>
      <c r="C1" s="7" t="s">
        <v>30</v>
      </c>
      <c r="D1" s="7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9" t="s">
        <v>0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4.25" customHeight="1">
      <c r="A2" s="11">
        <v>43982.0</v>
      </c>
      <c r="B2" s="12" t="s">
        <v>15</v>
      </c>
      <c r="C2" s="12">
        <v>7944.0</v>
      </c>
      <c r="D2" s="12">
        <v>623971.5</v>
      </c>
      <c r="E2" s="13">
        <f>SUMIFS('Лист2'!C:C, 'Лист2'!A:A, A2, 'Лист2'!B:B, B2)</f>
        <v>15</v>
      </c>
      <c r="F2" s="13"/>
      <c r="G2" s="13"/>
      <c r="H2" s="2">
        <f t="shared" ref="H2:H1009" si="1">IFERROR(D2/E2,0)</f>
        <v>41598.1</v>
      </c>
      <c r="I2" s="2">
        <f t="shared" ref="I2:I1009" si="2">WEEKNUM(A2,2)</f>
        <v>22</v>
      </c>
    </row>
    <row r="3" ht="14.25" customHeight="1">
      <c r="A3" s="14">
        <v>43981.0</v>
      </c>
      <c r="B3" s="15" t="s">
        <v>15</v>
      </c>
      <c r="C3" s="15">
        <v>10029.0</v>
      </c>
      <c r="D3" s="15">
        <v>787101.0</v>
      </c>
      <c r="E3" s="13">
        <f>SUMIFS('Лист2'!C:C, 'Лист2'!A:A, A3, 'Лист2'!B:B, B3)</f>
        <v>15</v>
      </c>
      <c r="F3" s="13"/>
      <c r="G3" s="13"/>
      <c r="H3" s="2">
        <f t="shared" si="1"/>
        <v>52473.4</v>
      </c>
      <c r="I3" s="2">
        <f t="shared" si="2"/>
        <v>22</v>
      </c>
    </row>
    <row r="4" ht="14.25" customHeight="1">
      <c r="A4" s="11">
        <v>43979.0</v>
      </c>
      <c r="B4" s="12" t="s">
        <v>15</v>
      </c>
      <c r="C4" s="12">
        <v>8536.5</v>
      </c>
      <c r="D4" s="12">
        <v>643944.0</v>
      </c>
      <c r="E4" s="13">
        <f>SUMIFS('Лист2'!C:C, 'Лист2'!A:A, A4, 'Лист2'!B:B, B4)</f>
        <v>15</v>
      </c>
      <c r="F4" s="13"/>
      <c r="G4" s="13"/>
      <c r="H4" s="2">
        <f t="shared" si="1"/>
        <v>42929.6</v>
      </c>
      <c r="I4" s="2">
        <f t="shared" si="2"/>
        <v>22</v>
      </c>
    </row>
    <row r="5" ht="14.25" customHeight="1">
      <c r="A5" s="14">
        <v>43967.0</v>
      </c>
      <c r="B5" s="15" t="s">
        <v>7</v>
      </c>
      <c r="C5" s="15">
        <v>38947.5</v>
      </c>
      <c r="D5" s="15">
        <v>3395892.0</v>
      </c>
      <c r="E5" s="13">
        <f>SUMIFS('Лист2'!C:C, 'Лист2'!A:A, A5, 'Лист2'!B:B, B5)</f>
        <v>21</v>
      </c>
      <c r="F5" s="13"/>
      <c r="G5" s="13"/>
      <c r="H5" s="2">
        <f t="shared" si="1"/>
        <v>161709.1429</v>
      </c>
      <c r="I5" s="2">
        <f t="shared" si="2"/>
        <v>20</v>
      </c>
    </row>
    <row r="6" ht="14.25" customHeight="1">
      <c r="A6" s="11">
        <v>43970.0</v>
      </c>
      <c r="B6" s="12" t="s">
        <v>7</v>
      </c>
      <c r="C6" s="12">
        <v>31842.0</v>
      </c>
      <c r="D6" s="12">
        <v>2771116.5</v>
      </c>
      <c r="E6" s="13">
        <f>SUMIFS('Лист2'!C:C, 'Лист2'!A:A, A6, 'Лист2'!B:B, B6)</f>
        <v>21</v>
      </c>
      <c r="F6" s="13"/>
      <c r="G6" s="13"/>
      <c r="H6" s="2">
        <f t="shared" si="1"/>
        <v>131957.9286</v>
      </c>
      <c r="I6" s="2">
        <f t="shared" si="2"/>
        <v>21</v>
      </c>
    </row>
    <row r="7" ht="14.25" customHeight="1">
      <c r="A7" s="14">
        <v>43968.0</v>
      </c>
      <c r="B7" s="15" t="s">
        <v>7</v>
      </c>
      <c r="C7" s="15">
        <v>32023.5</v>
      </c>
      <c r="D7" s="15">
        <v>2882458.5</v>
      </c>
      <c r="E7" s="13">
        <f>SUMIFS('Лист2'!C:C, 'Лист2'!A:A, A7, 'Лист2'!B:B, B7)</f>
        <v>21</v>
      </c>
      <c r="F7" s="13"/>
      <c r="G7" s="13"/>
      <c r="H7" s="2">
        <f t="shared" si="1"/>
        <v>137259.9286</v>
      </c>
      <c r="I7" s="2">
        <f t="shared" si="2"/>
        <v>20</v>
      </c>
    </row>
    <row r="8" ht="14.25" customHeight="1">
      <c r="A8" s="11">
        <v>43960.0</v>
      </c>
      <c r="B8" s="12" t="s">
        <v>7</v>
      </c>
      <c r="C8" s="12">
        <v>31147.5</v>
      </c>
      <c r="D8" s="12">
        <v>2831019.0</v>
      </c>
      <c r="E8" s="13">
        <f>SUMIFS('Лист2'!C:C, 'Лист2'!A:A, A8, 'Лист2'!B:B, B8)</f>
        <v>21</v>
      </c>
      <c r="F8" s="13"/>
      <c r="G8" s="13"/>
      <c r="H8" s="2">
        <f t="shared" si="1"/>
        <v>134810.4286</v>
      </c>
      <c r="I8" s="2">
        <f t="shared" si="2"/>
        <v>19</v>
      </c>
    </row>
    <row r="9" ht="14.25" customHeight="1">
      <c r="A9" s="14">
        <v>43955.0</v>
      </c>
      <c r="B9" s="15" t="s">
        <v>7</v>
      </c>
      <c r="C9" s="15">
        <v>25566.0</v>
      </c>
      <c r="D9" s="15">
        <v>2372310.0</v>
      </c>
      <c r="E9" s="13">
        <f>SUMIFS('Лист2'!C:C, 'Лист2'!A:A, A9, 'Лист2'!B:B, B9)</f>
        <v>20</v>
      </c>
      <c r="F9" s="13"/>
      <c r="G9" s="13"/>
      <c r="H9" s="2">
        <f t="shared" si="1"/>
        <v>118615.5</v>
      </c>
      <c r="I9" s="2">
        <f t="shared" si="2"/>
        <v>19</v>
      </c>
    </row>
    <row r="10" ht="14.25" customHeight="1">
      <c r="A10" s="11">
        <v>43950.0</v>
      </c>
      <c r="B10" s="12" t="s">
        <v>7</v>
      </c>
      <c r="C10" s="12">
        <v>29319.0</v>
      </c>
      <c r="D10" s="12">
        <v>2623480.5</v>
      </c>
      <c r="E10" s="13">
        <f>SUMIFS('Лист2'!C:C, 'Лист2'!A:A, A10, 'Лист2'!B:B, B10)</f>
        <v>18</v>
      </c>
      <c r="F10" s="13"/>
      <c r="G10" s="13"/>
      <c r="H10" s="2">
        <f t="shared" si="1"/>
        <v>145748.9167</v>
      </c>
      <c r="I10" s="2">
        <f t="shared" si="2"/>
        <v>18</v>
      </c>
    </row>
    <row r="11" ht="14.25" customHeight="1">
      <c r="A11" s="14">
        <v>43953.0</v>
      </c>
      <c r="B11" s="15" t="s">
        <v>7</v>
      </c>
      <c r="C11" s="15">
        <v>29031.0</v>
      </c>
      <c r="D11" s="15">
        <v>2711247.0</v>
      </c>
      <c r="E11" s="13">
        <f>SUMIFS('Лист2'!C:C, 'Лист2'!A:A, A11, 'Лист2'!B:B, B11)</f>
        <v>18</v>
      </c>
      <c r="F11" s="13"/>
      <c r="G11" s="13"/>
      <c r="H11" s="2">
        <f t="shared" si="1"/>
        <v>150624.8333</v>
      </c>
      <c r="I11" s="2">
        <f t="shared" si="2"/>
        <v>18</v>
      </c>
    </row>
    <row r="12" ht="14.25" customHeight="1">
      <c r="A12" s="11">
        <v>43977.0</v>
      </c>
      <c r="B12" s="12" t="s">
        <v>7</v>
      </c>
      <c r="C12" s="12">
        <v>33423.0</v>
      </c>
      <c r="D12" s="12">
        <v>2970330.0</v>
      </c>
      <c r="E12" s="13">
        <f>SUMIFS('Лист2'!C:C, 'Лист2'!A:A, A12, 'Лист2'!B:B, B12)</f>
        <v>20</v>
      </c>
      <c r="F12" s="13"/>
      <c r="G12" s="13"/>
      <c r="H12" s="2">
        <f t="shared" si="1"/>
        <v>148516.5</v>
      </c>
      <c r="I12" s="2">
        <f t="shared" si="2"/>
        <v>22</v>
      </c>
    </row>
    <row r="13" ht="14.25" customHeight="1">
      <c r="A13" s="14">
        <v>43952.0</v>
      </c>
      <c r="B13" s="15" t="s">
        <v>7</v>
      </c>
      <c r="C13" s="15">
        <v>32487.0</v>
      </c>
      <c r="D13" s="15">
        <v>3031254.0</v>
      </c>
      <c r="E13" s="13">
        <f>SUMIFS('Лист2'!C:C, 'Лист2'!A:A, A13, 'Лист2'!B:B, B13)</f>
        <v>18</v>
      </c>
      <c r="F13" s="13"/>
      <c r="G13" s="13"/>
      <c r="H13" s="2">
        <f t="shared" si="1"/>
        <v>168403</v>
      </c>
      <c r="I13" s="2">
        <f t="shared" si="2"/>
        <v>18</v>
      </c>
    </row>
    <row r="14" ht="14.25" customHeight="1">
      <c r="A14" s="11">
        <v>43963.0</v>
      </c>
      <c r="B14" s="12" t="s">
        <v>7</v>
      </c>
      <c r="C14" s="12">
        <v>28219.5</v>
      </c>
      <c r="D14" s="12">
        <v>2595778.5</v>
      </c>
      <c r="E14" s="13">
        <f>SUMIFS('Лист2'!C:C, 'Лист2'!A:A, A14, 'Лист2'!B:B, B14)</f>
        <v>21</v>
      </c>
      <c r="F14" s="13"/>
      <c r="G14" s="13"/>
      <c r="H14" s="2">
        <f t="shared" si="1"/>
        <v>123608.5</v>
      </c>
      <c r="I14" s="2">
        <f t="shared" si="2"/>
        <v>20</v>
      </c>
    </row>
    <row r="15" ht="14.25" customHeight="1">
      <c r="A15" s="14">
        <v>43972.0</v>
      </c>
      <c r="B15" s="15" t="s">
        <v>7</v>
      </c>
      <c r="C15" s="15">
        <v>31272.0</v>
      </c>
      <c r="D15" s="15">
        <v>2744382.0</v>
      </c>
      <c r="E15" s="13">
        <f>SUMIFS('Лист2'!C:C, 'Лист2'!A:A, A15, 'Лист2'!B:B, B15)</f>
        <v>21</v>
      </c>
      <c r="F15" s="13"/>
      <c r="G15" s="13"/>
      <c r="H15" s="2">
        <f t="shared" si="1"/>
        <v>130684.8571</v>
      </c>
      <c r="I15" s="2">
        <f t="shared" si="2"/>
        <v>21</v>
      </c>
    </row>
    <row r="16" ht="14.25" customHeight="1">
      <c r="A16" s="11">
        <v>43971.0</v>
      </c>
      <c r="B16" s="12" t="s">
        <v>7</v>
      </c>
      <c r="C16" s="12">
        <v>34077.0</v>
      </c>
      <c r="D16" s="12">
        <v>2929330.5</v>
      </c>
      <c r="E16" s="13">
        <f>SUMIFS('Лист2'!C:C, 'Лист2'!A:A, A16, 'Лист2'!B:B, B16)</f>
        <v>21</v>
      </c>
      <c r="F16" s="13"/>
      <c r="G16" s="13"/>
      <c r="H16" s="2">
        <f t="shared" si="1"/>
        <v>139491.9286</v>
      </c>
      <c r="I16" s="2">
        <f t="shared" si="2"/>
        <v>21</v>
      </c>
    </row>
    <row r="17" ht="14.25" customHeight="1">
      <c r="A17" s="14">
        <v>43956.0</v>
      </c>
      <c r="B17" s="15" t="s">
        <v>7</v>
      </c>
      <c r="C17" s="15">
        <v>31566.0</v>
      </c>
      <c r="D17" s="15">
        <v>2906763.0</v>
      </c>
      <c r="E17" s="13">
        <f>SUMIFS('Лист2'!C:C, 'Лист2'!A:A, A17, 'Лист2'!B:B, B17)</f>
        <v>20</v>
      </c>
      <c r="F17" s="13"/>
      <c r="G17" s="13"/>
      <c r="H17" s="2">
        <f t="shared" si="1"/>
        <v>145338.15</v>
      </c>
      <c r="I17" s="2">
        <f t="shared" si="2"/>
        <v>19</v>
      </c>
    </row>
    <row r="18" ht="14.25" customHeight="1">
      <c r="A18" s="11">
        <v>43949.0</v>
      </c>
      <c r="B18" s="12" t="s">
        <v>7</v>
      </c>
      <c r="C18" s="12">
        <v>26940.0</v>
      </c>
      <c r="D18" s="12">
        <v>2411587.5</v>
      </c>
      <c r="E18" s="13">
        <f>SUMIFS('Лист2'!C:C, 'Лист2'!A:A, A18, 'Лист2'!B:B, B18)</f>
        <v>18</v>
      </c>
      <c r="F18" s="13"/>
      <c r="G18" s="13"/>
      <c r="H18" s="2">
        <f t="shared" si="1"/>
        <v>133977.0833</v>
      </c>
      <c r="I18" s="2">
        <f t="shared" si="2"/>
        <v>18</v>
      </c>
    </row>
    <row r="19" ht="14.25" customHeight="1">
      <c r="A19" s="14">
        <v>43964.0</v>
      </c>
      <c r="B19" s="15" t="s">
        <v>7</v>
      </c>
      <c r="C19" s="15">
        <v>29241.0</v>
      </c>
      <c r="D19" s="15">
        <v>2629782.0</v>
      </c>
      <c r="E19" s="13">
        <f>SUMIFS('Лист2'!C:C, 'Лист2'!A:A, A19, 'Лист2'!B:B, B19)</f>
        <v>21</v>
      </c>
      <c r="F19" s="13"/>
      <c r="G19" s="13"/>
      <c r="H19" s="2">
        <f t="shared" si="1"/>
        <v>125227.7143</v>
      </c>
      <c r="I19" s="2">
        <f t="shared" si="2"/>
        <v>20</v>
      </c>
    </row>
    <row r="20" ht="14.25" customHeight="1">
      <c r="A20" s="11">
        <v>43954.0</v>
      </c>
      <c r="B20" s="12" t="s">
        <v>7</v>
      </c>
      <c r="C20" s="12">
        <v>26082.0</v>
      </c>
      <c r="D20" s="12">
        <v>2434914.0</v>
      </c>
      <c r="E20" s="13">
        <f>SUMIFS('Лист2'!C:C, 'Лист2'!A:A, A20, 'Лист2'!B:B, B20)</f>
        <v>20</v>
      </c>
      <c r="F20" s="13"/>
      <c r="G20" s="13"/>
      <c r="H20" s="2">
        <f t="shared" si="1"/>
        <v>121745.7</v>
      </c>
      <c r="I20" s="2">
        <f t="shared" si="2"/>
        <v>18</v>
      </c>
    </row>
    <row r="21" ht="14.25" customHeight="1">
      <c r="A21" s="14">
        <v>43957.0</v>
      </c>
      <c r="B21" s="15" t="s">
        <v>7</v>
      </c>
      <c r="C21" s="15">
        <v>32511.0</v>
      </c>
      <c r="D21" s="15">
        <v>2938623.0</v>
      </c>
      <c r="E21" s="13">
        <f>SUMIFS('Лист2'!C:C, 'Лист2'!A:A, A21, 'Лист2'!B:B, B21)</f>
        <v>20</v>
      </c>
      <c r="F21" s="13"/>
      <c r="G21" s="13"/>
      <c r="H21" s="2">
        <f t="shared" si="1"/>
        <v>146931.15</v>
      </c>
      <c r="I21" s="2">
        <f t="shared" si="2"/>
        <v>19</v>
      </c>
    </row>
    <row r="22" ht="14.25" customHeight="1">
      <c r="A22" s="11">
        <v>43974.0</v>
      </c>
      <c r="B22" s="12" t="s">
        <v>7</v>
      </c>
      <c r="C22" s="12">
        <v>42703.5</v>
      </c>
      <c r="D22" s="12">
        <v>3628726.5</v>
      </c>
      <c r="E22" s="13">
        <f>SUMIFS('Лист2'!C:C, 'Лист2'!A:A, A22, 'Лист2'!B:B, B22)</f>
        <v>21</v>
      </c>
      <c r="F22" s="13"/>
      <c r="G22" s="13"/>
      <c r="H22" s="2">
        <f t="shared" si="1"/>
        <v>172796.5</v>
      </c>
      <c r="I22" s="2">
        <f t="shared" si="2"/>
        <v>21</v>
      </c>
    </row>
    <row r="23" ht="14.25" customHeight="1">
      <c r="A23" s="14">
        <v>43976.0</v>
      </c>
      <c r="B23" s="15" t="s">
        <v>7</v>
      </c>
      <c r="C23" s="15">
        <v>35592.0</v>
      </c>
      <c r="D23" s="15">
        <v>3176580.0</v>
      </c>
      <c r="E23" s="13">
        <f>SUMIFS('Лист2'!C:C, 'Лист2'!A:A, A23, 'Лист2'!B:B, B23)</f>
        <v>20</v>
      </c>
      <c r="F23" s="13"/>
      <c r="G23" s="13"/>
      <c r="H23" s="2">
        <f t="shared" si="1"/>
        <v>158829</v>
      </c>
      <c r="I23" s="2">
        <f t="shared" si="2"/>
        <v>22</v>
      </c>
    </row>
    <row r="24" ht="14.25" customHeight="1">
      <c r="A24" s="11">
        <v>43951.0</v>
      </c>
      <c r="B24" s="12" t="s">
        <v>7</v>
      </c>
      <c r="C24" s="12">
        <v>30445.5</v>
      </c>
      <c r="D24" s="12">
        <v>2817196.5</v>
      </c>
      <c r="E24" s="13">
        <f>SUMIFS('Лист2'!C:C, 'Лист2'!A:A, A24, 'Лист2'!B:B, B24)</f>
        <v>19</v>
      </c>
      <c r="F24" s="13"/>
      <c r="G24" s="13"/>
      <c r="H24" s="2">
        <f t="shared" si="1"/>
        <v>148273.5</v>
      </c>
      <c r="I24" s="2">
        <f t="shared" si="2"/>
        <v>18</v>
      </c>
    </row>
    <row r="25" ht="14.25" customHeight="1">
      <c r="A25" s="14">
        <v>43961.0</v>
      </c>
      <c r="B25" s="15" t="s">
        <v>7</v>
      </c>
      <c r="C25" s="15">
        <v>36619.5</v>
      </c>
      <c r="D25" s="15">
        <v>3312967.5</v>
      </c>
      <c r="E25" s="13">
        <f>SUMIFS('Лист2'!C:C, 'Лист2'!A:A, A25, 'Лист2'!B:B, B25)</f>
        <v>21</v>
      </c>
      <c r="F25" s="13"/>
      <c r="G25" s="13"/>
      <c r="H25" s="2">
        <f t="shared" si="1"/>
        <v>157760.3571</v>
      </c>
      <c r="I25" s="2">
        <f t="shared" si="2"/>
        <v>19</v>
      </c>
    </row>
    <row r="26" ht="14.25" customHeight="1">
      <c r="A26" s="11">
        <v>43959.0</v>
      </c>
      <c r="B26" s="12" t="s">
        <v>7</v>
      </c>
      <c r="C26" s="12">
        <v>29409.0</v>
      </c>
      <c r="D26" s="12">
        <v>2645160.0</v>
      </c>
      <c r="E26" s="13">
        <f>SUMIFS('Лист2'!C:C, 'Лист2'!A:A, A26, 'Лист2'!B:B, B26)</f>
        <v>21</v>
      </c>
      <c r="F26" s="13"/>
      <c r="G26" s="13"/>
      <c r="H26" s="2">
        <f t="shared" si="1"/>
        <v>125960</v>
      </c>
      <c r="I26" s="2">
        <f t="shared" si="2"/>
        <v>19</v>
      </c>
    </row>
    <row r="27" ht="14.25" customHeight="1">
      <c r="A27" s="14">
        <v>43958.0</v>
      </c>
      <c r="B27" s="15" t="s">
        <v>7</v>
      </c>
      <c r="C27" s="15">
        <v>27018.0</v>
      </c>
      <c r="D27" s="15">
        <v>2472213.0</v>
      </c>
      <c r="E27" s="13">
        <f>SUMIFS('Лист2'!C:C, 'Лист2'!A:A, A27, 'Лист2'!B:B, B27)</f>
        <v>21</v>
      </c>
      <c r="F27" s="13"/>
      <c r="G27" s="13"/>
      <c r="H27" s="2">
        <f t="shared" si="1"/>
        <v>117724.4286</v>
      </c>
      <c r="I27" s="2">
        <f t="shared" si="2"/>
        <v>19</v>
      </c>
    </row>
    <row r="28" ht="14.25" customHeight="1">
      <c r="A28" s="11">
        <v>43975.0</v>
      </c>
      <c r="B28" s="12" t="s">
        <v>7</v>
      </c>
      <c r="C28" s="12">
        <v>34303.5</v>
      </c>
      <c r="D28" s="12">
        <v>2924746.5</v>
      </c>
      <c r="E28" s="13">
        <f>SUMIFS('Лист2'!C:C, 'Лист2'!A:A, A28, 'Лист2'!B:B, B28)</f>
        <v>20</v>
      </c>
      <c r="F28" s="13"/>
      <c r="G28" s="13"/>
      <c r="H28" s="2">
        <f t="shared" si="1"/>
        <v>146237.325</v>
      </c>
      <c r="I28" s="2">
        <f t="shared" si="2"/>
        <v>21</v>
      </c>
    </row>
    <row r="29" ht="14.25" customHeight="1">
      <c r="A29" s="14">
        <v>43982.0</v>
      </c>
      <c r="B29" s="15" t="s">
        <v>7</v>
      </c>
      <c r="C29" s="15">
        <v>36999.0</v>
      </c>
      <c r="D29" s="15">
        <v>3473895.0</v>
      </c>
      <c r="E29" s="13">
        <f>SUMIFS('Лист2'!C:C, 'Лист2'!A:A, A29, 'Лист2'!B:B, B29)</f>
        <v>21</v>
      </c>
      <c r="F29" s="13"/>
      <c r="G29" s="13"/>
      <c r="H29" s="2">
        <f t="shared" si="1"/>
        <v>165423.5714</v>
      </c>
      <c r="I29" s="2">
        <f t="shared" si="2"/>
        <v>22</v>
      </c>
    </row>
    <row r="30" ht="14.25" customHeight="1">
      <c r="A30" s="11">
        <v>43981.0</v>
      </c>
      <c r="B30" s="12" t="s">
        <v>7</v>
      </c>
      <c r="C30" s="12">
        <v>44001.0</v>
      </c>
      <c r="D30" s="12">
        <v>3921784.5</v>
      </c>
      <c r="E30" s="13">
        <f>SUMIFS('Лист2'!C:C, 'Лист2'!A:A, A30, 'Лист2'!B:B, B30)</f>
        <v>20</v>
      </c>
      <c r="F30" s="13"/>
      <c r="G30" s="13"/>
      <c r="H30" s="2">
        <f t="shared" si="1"/>
        <v>196089.225</v>
      </c>
      <c r="I30" s="2">
        <f t="shared" si="2"/>
        <v>22</v>
      </c>
    </row>
    <row r="31" ht="14.25" customHeight="1">
      <c r="A31" s="14">
        <v>43979.0</v>
      </c>
      <c r="B31" s="15" t="s">
        <v>7</v>
      </c>
      <c r="C31" s="15">
        <v>30982.5</v>
      </c>
      <c r="D31" s="15">
        <v>2827773.0</v>
      </c>
      <c r="E31" s="13">
        <f>SUMIFS('Лист2'!C:C, 'Лист2'!A:A, A31, 'Лист2'!B:B, B31)</f>
        <v>20</v>
      </c>
      <c r="F31" s="13"/>
      <c r="G31" s="13"/>
      <c r="H31" s="2">
        <f t="shared" si="1"/>
        <v>141388.65</v>
      </c>
      <c r="I31" s="2">
        <f t="shared" si="2"/>
        <v>22</v>
      </c>
    </row>
    <row r="32" ht="14.25" customHeight="1">
      <c r="A32" s="11">
        <v>43967.0</v>
      </c>
      <c r="B32" s="12" t="s">
        <v>5</v>
      </c>
      <c r="C32" s="12">
        <v>88063.5</v>
      </c>
      <c r="D32" s="12">
        <v>7583758.5</v>
      </c>
      <c r="E32" s="13">
        <f>SUMIFS('Лист2'!C:C, 'Лист2'!A:A, A32, 'Лист2'!B:B, B32)</f>
        <v>31</v>
      </c>
      <c r="F32" s="13"/>
      <c r="G32" s="13"/>
      <c r="H32" s="2">
        <f t="shared" si="1"/>
        <v>244637.371</v>
      </c>
      <c r="I32" s="2">
        <f t="shared" si="2"/>
        <v>20</v>
      </c>
    </row>
    <row r="33" ht="14.25" customHeight="1">
      <c r="A33" s="14">
        <v>43970.0</v>
      </c>
      <c r="B33" s="15" t="s">
        <v>5</v>
      </c>
      <c r="C33" s="15">
        <v>84024.0</v>
      </c>
      <c r="D33" s="15">
        <v>6815511.0</v>
      </c>
      <c r="E33" s="13">
        <f>SUMIFS('Лист2'!C:C, 'Лист2'!A:A, A33, 'Лист2'!B:B, B33)</f>
        <v>31</v>
      </c>
      <c r="F33" s="13"/>
      <c r="G33" s="13"/>
      <c r="H33" s="2">
        <f t="shared" si="1"/>
        <v>219855.1935</v>
      </c>
      <c r="I33" s="2">
        <f t="shared" si="2"/>
        <v>21</v>
      </c>
    </row>
    <row r="34" ht="14.25" customHeight="1">
      <c r="A34" s="11">
        <v>43968.0</v>
      </c>
      <c r="B34" s="12" t="s">
        <v>5</v>
      </c>
      <c r="C34" s="12">
        <v>78057.0</v>
      </c>
      <c r="D34" s="12">
        <v>6774946.5</v>
      </c>
      <c r="E34" s="13">
        <f>SUMIFS('Лист2'!C:C, 'Лист2'!A:A, A34, 'Лист2'!B:B, B34)</f>
        <v>31</v>
      </c>
      <c r="F34" s="13"/>
      <c r="G34" s="13"/>
      <c r="H34" s="2">
        <f t="shared" si="1"/>
        <v>218546.6613</v>
      </c>
      <c r="I34" s="2">
        <f t="shared" si="2"/>
        <v>20</v>
      </c>
    </row>
    <row r="35" ht="14.25" customHeight="1">
      <c r="A35" s="14">
        <v>43960.0</v>
      </c>
      <c r="B35" s="15" t="s">
        <v>5</v>
      </c>
      <c r="C35" s="15">
        <v>69720.0</v>
      </c>
      <c r="D35" s="15">
        <v>6264933.0</v>
      </c>
      <c r="E35" s="13">
        <f>SUMIFS('Лист2'!C:C, 'Лист2'!A:A, A35, 'Лист2'!B:B, B35)</f>
        <v>31</v>
      </c>
      <c r="F35" s="13"/>
      <c r="G35" s="13"/>
      <c r="H35" s="2">
        <f t="shared" si="1"/>
        <v>202094.6129</v>
      </c>
      <c r="I35" s="2">
        <f t="shared" si="2"/>
        <v>19</v>
      </c>
    </row>
    <row r="36" ht="14.25" customHeight="1">
      <c r="A36" s="11">
        <v>43955.0</v>
      </c>
      <c r="B36" s="12" t="s">
        <v>5</v>
      </c>
      <c r="C36" s="12">
        <v>72928.5</v>
      </c>
      <c r="D36" s="12">
        <v>6642249.0</v>
      </c>
      <c r="E36" s="13">
        <f>SUMIFS('Лист2'!C:C, 'Лист2'!A:A, A36, 'Лист2'!B:B, B36)</f>
        <v>31</v>
      </c>
      <c r="F36" s="13"/>
      <c r="G36" s="13"/>
      <c r="H36" s="2">
        <f t="shared" si="1"/>
        <v>214266.0968</v>
      </c>
      <c r="I36" s="2">
        <f t="shared" si="2"/>
        <v>19</v>
      </c>
    </row>
    <row r="37" ht="14.25" customHeight="1">
      <c r="A37" s="14">
        <v>43950.0</v>
      </c>
      <c r="B37" s="15" t="s">
        <v>5</v>
      </c>
      <c r="C37" s="15">
        <v>79527.0</v>
      </c>
      <c r="D37" s="15">
        <v>7180498.5</v>
      </c>
      <c r="E37" s="13">
        <f>SUMIFS('Лист2'!C:C, 'Лист2'!A:A, A37, 'Лист2'!B:B, B37)</f>
        <v>31</v>
      </c>
      <c r="F37" s="13"/>
      <c r="G37" s="13"/>
      <c r="H37" s="2">
        <f t="shared" si="1"/>
        <v>231628.9839</v>
      </c>
      <c r="I37" s="2">
        <f t="shared" si="2"/>
        <v>18</v>
      </c>
    </row>
    <row r="38" ht="14.25" customHeight="1">
      <c r="A38" s="11">
        <v>43953.0</v>
      </c>
      <c r="B38" s="12" t="s">
        <v>5</v>
      </c>
      <c r="C38" s="12">
        <v>60463.5</v>
      </c>
      <c r="D38" s="12">
        <v>5554192.5</v>
      </c>
      <c r="E38" s="13">
        <f>SUMIFS('Лист2'!C:C, 'Лист2'!A:A, A38, 'Лист2'!B:B, B38)</f>
        <v>31</v>
      </c>
      <c r="F38" s="13"/>
      <c r="G38" s="13"/>
      <c r="H38" s="2">
        <f t="shared" si="1"/>
        <v>179167.5</v>
      </c>
      <c r="I38" s="2">
        <f t="shared" si="2"/>
        <v>18</v>
      </c>
    </row>
    <row r="39" ht="14.25" customHeight="1">
      <c r="A39" s="14">
        <v>43977.0</v>
      </c>
      <c r="B39" s="15" t="s">
        <v>5</v>
      </c>
      <c r="C39" s="15">
        <v>79975.5</v>
      </c>
      <c r="D39" s="15">
        <v>6676459.5</v>
      </c>
      <c r="E39" s="13">
        <f>SUMIFS('Лист2'!C:C, 'Лист2'!A:A, A39, 'Лист2'!B:B, B39)</f>
        <v>31</v>
      </c>
      <c r="F39" s="13"/>
      <c r="G39" s="13"/>
      <c r="H39" s="2">
        <f t="shared" si="1"/>
        <v>215369.6613</v>
      </c>
      <c r="I39" s="2">
        <f t="shared" si="2"/>
        <v>22</v>
      </c>
    </row>
    <row r="40" ht="14.25" customHeight="1">
      <c r="A40" s="11">
        <v>43952.0</v>
      </c>
      <c r="B40" s="12" t="s">
        <v>5</v>
      </c>
      <c r="C40" s="12">
        <v>97534.5</v>
      </c>
      <c r="D40" s="12">
        <v>8893024.5</v>
      </c>
      <c r="E40" s="13">
        <f>SUMIFS('Лист2'!C:C, 'Лист2'!A:A, A40, 'Лист2'!B:B, B40)</f>
        <v>31</v>
      </c>
      <c r="F40" s="13"/>
      <c r="G40" s="13"/>
      <c r="H40" s="2">
        <f t="shared" si="1"/>
        <v>286871.7581</v>
      </c>
      <c r="I40" s="2">
        <f t="shared" si="2"/>
        <v>18</v>
      </c>
    </row>
    <row r="41" ht="14.25" customHeight="1">
      <c r="A41" s="14">
        <v>43963.0</v>
      </c>
      <c r="B41" s="15" t="s">
        <v>5</v>
      </c>
      <c r="C41" s="15">
        <v>71520.0</v>
      </c>
      <c r="D41" s="15">
        <v>6398361.0</v>
      </c>
      <c r="E41" s="13">
        <f>SUMIFS('Лист2'!C:C, 'Лист2'!A:A, A41, 'Лист2'!B:B, B41)</f>
        <v>31</v>
      </c>
      <c r="F41" s="13"/>
      <c r="G41" s="13"/>
      <c r="H41" s="2">
        <f t="shared" si="1"/>
        <v>206398.7419</v>
      </c>
      <c r="I41" s="2">
        <f t="shared" si="2"/>
        <v>20</v>
      </c>
    </row>
    <row r="42" ht="14.25" customHeight="1">
      <c r="A42" s="11">
        <v>43972.0</v>
      </c>
      <c r="B42" s="12" t="s">
        <v>5</v>
      </c>
      <c r="C42" s="12">
        <v>79485.0</v>
      </c>
      <c r="D42" s="12">
        <v>6633847.5</v>
      </c>
      <c r="E42" s="13">
        <f>SUMIFS('Лист2'!C:C, 'Лист2'!A:A, A42, 'Лист2'!B:B, B42)</f>
        <v>31</v>
      </c>
      <c r="F42" s="13"/>
      <c r="G42" s="13"/>
      <c r="H42" s="2">
        <f t="shared" si="1"/>
        <v>213995.0806</v>
      </c>
      <c r="I42" s="2">
        <f t="shared" si="2"/>
        <v>21</v>
      </c>
    </row>
    <row r="43" ht="14.25" customHeight="1">
      <c r="A43" s="14">
        <v>43971.0</v>
      </c>
      <c r="B43" s="15" t="s">
        <v>5</v>
      </c>
      <c r="C43" s="15">
        <v>93313.5</v>
      </c>
      <c r="D43" s="15">
        <v>7247575.5</v>
      </c>
      <c r="E43" s="13">
        <f>SUMIFS('Лист2'!C:C, 'Лист2'!A:A, A43, 'Лист2'!B:B, B43)</f>
        <v>31</v>
      </c>
      <c r="F43" s="13"/>
      <c r="G43" s="13"/>
      <c r="H43" s="2">
        <f t="shared" si="1"/>
        <v>233792.7581</v>
      </c>
      <c r="I43" s="2">
        <f t="shared" si="2"/>
        <v>21</v>
      </c>
    </row>
    <row r="44" ht="14.25" customHeight="1">
      <c r="A44" s="11">
        <v>43956.0</v>
      </c>
      <c r="B44" s="12" t="s">
        <v>5</v>
      </c>
      <c r="C44" s="12">
        <v>76585.5</v>
      </c>
      <c r="D44" s="12">
        <v>6921316.5</v>
      </c>
      <c r="E44" s="13">
        <f>SUMIFS('Лист2'!C:C, 'Лист2'!A:A, A44, 'Лист2'!B:B, B44)</f>
        <v>31</v>
      </c>
      <c r="F44" s="13"/>
      <c r="G44" s="13"/>
      <c r="H44" s="2">
        <f t="shared" si="1"/>
        <v>223268.2742</v>
      </c>
      <c r="I44" s="2">
        <f t="shared" si="2"/>
        <v>19</v>
      </c>
    </row>
    <row r="45" ht="14.25" customHeight="1">
      <c r="A45" s="14">
        <v>43949.0</v>
      </c>
      <c r="B45" s="15" t="s">
        <v>5</v>
      </c>
      <c r="C45" s="15">
        <v>81826.5</v>
      </c>
      <c r="D45" s="15">
        <v>7163644.5</v>
      </c>
      <c r="E45" s="13">
        <f>SUMIFS('Лист2'!C:C, 'Лист2'!A:A, A45, 'Лист2'!B:B, B45)</f>
        <v>31</v>
      </c>
      <c r="F45" s="13"/>
      <c r="G45" s="13"/>
      <c r="H45" s="2">
        <f t="shared" si="1"/>
        <v>231085.3065</v>
      </c>
      <c r="I45" s="2">
        <f t="shared" si="2"/>
        <v>18</v>
      </c>
    </row>
    <row r="46" ht="14.25" customHeight="1">
      <c r="A46" s="11">
        <v>43964.0</v>
      </c>
      <c r="B46" s="12" t="s">
        <v>5</v>
      </c>
      <c r="C46" s="12">
        <v>78846.0</v>
      </c>
      <c r="D46" s="12">
        <v>6993952.5</v>
      </c>
      <c r="E46" s="13">
        <f>SUMIFS('Лист2'!C:C, 'Лист2'!A:A, A46, 'Лист2'!B:B, B46)</f>
        <v>31</v>
      </c>
      <c r="F46" s="13"/>
      <c r="G46" s="13"/>
      <c r="H46" s="2">
        <f t="shared" si="1"/>
        <v>225611.371</v>
      </c>
      <c r="I46" s="2">
        <f t="shared" si="2"/>
        <v>20</v>
      </c>
    </row>
    <row r="47" ht="14.25" customHeight="1">
      <c r="A47" s="14">
        <v>43954.0</v>
      </c>
      <c r="B47" s="15" t="s">
        <v>5</v>
      </c>
      <c r="C47" s="15">
        <v>77263.5</v>
      </c>
      <c r="D47" s="15">
        <v>7013670.0</v>
      </c>
      <c r="E47" s="13">
        <f>SUMIFS('Лист2'!C:C, 'Лист2'!A:A, A47, 'Лист2'!B:B, B47)</f>
        <v>31</v>
      </c>
      <c r="F47" s="13"/>
      <c r="G47" s="13"/>
      <c r="H47" s="2">
        <f t="shared" si="1"/>
        <v>226247.4194</v>
      </c>
      <c r="I47" s="2">
        <f t="shared" si="2"/>
        <v>18</v>
      </c>
    </row>
    <row r="48" ht="14.25" customHeight="1">
      <c r="A48" s="11">
        <v>43957.0</v>
      </c>
      <c r="B48" s="12" t="s">
        <v>5</v>
      </c>
      <c r="C48" s="12">
        <v>68994.0</v>
      </c>
      <c r="D48" s="12">
        <v>6168657.0</v>
      </c>
      <c r="E48" s="13">
        <f>SUMIFS('Лист2'!C:C, 'Лист2'!A:A, A48, 'Лист2'!B:B, B48)</f>
        <v>31</v>
      </c>
      <c r="F48" s="13"/>
      <c r="G48" s="13"/>
      <c r="H48" s="2">
        <f t="shared" si="1"/>
        <v>198988.9355</v>
      </c>
      <c r="I48" s="2">
        <f t="shared" si="2"/>
        <v>19</v>
      </c>
    </row>
    <row r="49" ht="14.25" customHeight="1">
      <c r="A49" s="14">
        <v>43974.0</v>
      </c>
      <c r="B49" s="15" t="s">
        <v>5</v>
      </c>
      <c r="C49" s="15">
        <v>102889.5</v>
      </c>
      <c r="D49" s="15">
        <v>8089143.0</v>
      </c>
      <c r="E49" s="13">
        <f>SUMIFS('Лист2'!C:C, 'Лист2'!A:A, A49, 'Лист2'!B:B, B49)</f>
        <v>31</v>
      </c>
      <c r="F49" s="13"/>
      <c r="G49" s="13"/>
      <c r="H49" s="2">
        <f t="shared" si="1"/>
        <v>260940.0968</v>
      </c>
      <c r="I49" s="2">
        <f t="shared" si="2"/>
        <v>21</v>
      </c>
    </row>
    <row r="50" ht="14.25" customHeight="1">
      <c r="A50" s="11">
        <v>43976.0</v>
      </c>
      <c r="B50" s="12" t="s">
        <v>5</v>
      </c>
      <c r="C50" s="12">
        <v>76999.5</v>
      </c>
      <c r="D50" s="12">
        <v>6645603.0</v>
      </c>
      <c r="E50" s="13">
        <f>SUMIFS('Лист2'!C:C, 'Лист2'!A:A, A50, 'Лист2'!B:B, B50)</f>
        <v>31</v>
      </c>
      <c r="F50" s="13"/>
      <c r="G50" s="13"/>
      <c r="H50" s="2">
        <f t="shared" si="1"/>
        <v>214374.2903</v>
      </c>
      <c r="I50" s="2">
        <f t="shared" si="2"/>
        <v>22</v>
      </c>
    </row>
    <row r="51" ht="14.25" customHeight="1">
      <c r="A51" s="14">
        <v>43951.0</v>
      </c>
      <c r="B51" s="15" t="s">
        <v>5</v>
      </c>
      <c r="C51" s="15">
        <v>77565.0</v>
      </c>
      <c r="D51" s="15">
        <v>7023727.5</v>
      </c>
      <c r="E51" s="13">
        <f>SUMIFS('Лист2'!C:C, 'Лист2'!A:A, A51, 'Лист2'!B:B, B51)</f>
        <v>31</v>
      </c>
      <c r="F51" s="13"/>
      <c r="G51" s="13"/>
      <c r="H51" s="2">
        <f t="shared" si="1"/>
        <v>226571.8548</v>
      </c>
      <c r="I51" s="2">
        <f t="shared" si="2"/>
        <v>18</v>
      </c>
    </row>
    <row r="52" ht="14.25" customHeight="1">
      <c r="A52" s="11">
        <v>43961.0</v>
      </c>
      <c r="B52" s="12" t="s">
        <v>5</v>
      </c>
      <c r="C52" s="12">
        <v>84132.0</v>
      </c>
      <c r="D52" s="12">
        <v>7483194.0</v>
      </c>
      <c r="E52" s="13">
        <f>SUMIFS('Лист2'!C:C, 'Лист2'!A:A, A52, 'Лист2'!B:B, B52)</f>
        <v>31</v>
      </c>
      <c r="F52" s="13"/>
      <c r="G52" s="13"/>
      <c r="H52" s="2">
        <f t="shared" si="1"/>
        <v>241393.3548</v>
      </c>
      <c r="I52" s="2">
        <f t="shared" si="2"/>
        <v>19</v>
      </c>
    </row>
    <row r="53" ht="14.25" customHeight="1">
      <c r="A53" s="14">
        <v>43959.0</v>
      </c>
      <c r="B53" s="15" t="s">
        <v>5</v>
      </c>
      <c r="C53" s="15">
        <v>69544.5</v>
      </c>
      <c r="D53" s="15">
        <v>6293776.5</v>
      </c>
      <c r="E53" s="13">
        <f>SUMIFS('Лист2'!C:C, 'Лист2'!A:A, A53, 'Лист2'!B:B, B53)</f>
        <v>31</v>
      </c>
      <c r="F53" s="13"/>
      <c r="G53" s="13"/>
      <c r="H53" s="2">
        <f t="shared" si="1"/>
        <v>203025.0484</v>
      </c>
      <c r="I53" s="2">
        <f t="shared" si="2"/>
        <v>19</v>
      </c>
    </row>
    <row r="54" ht="14.25" customHeight="1">
      <c r="A54" s="11">
        <v>43958.0</v>
      </c>
      <c r="B54" s="12" t="s">
        <v>5</v>
      </c>
      <c r="C54" s="12">
        <v>73204.5</v>
      </c>
      <c r="D54" s="12">
        <v>6591883.5</v>
      </c>
      <c r="E54" s="13">
        <f>SUMIFS('Лист2'!C:C, 'Лист2'!A:A, A54, 'Лист2'!B:B, B54)</f>
        <v>31</v>
      </c>
      <c r="F54" s="13"/>
      <c r="G54" s="13"/>
      <c r="H54" s="2">
        <f t="shared" si="1"/>
        <v>212641.4032</v>
      </c>
      <c r="I54" s="2">
        <f t="shared" si="2"/>
        <v>19</v>
      </c>
    </row>
    <row r="55" ht="14.25" customHeight="1">
      <c r="A55" s="14">
        <v>43975.0</v>
      </c>
      <c r="B55" s="15" t="s">
        <v>5</v>
      </c>
      <c r="C55" s="15">
        <v>76663.5</v>
      </c>
      <c r="D55" s="15">
        <v>6451032.0</v>
      </c>
      <c r="E55" s="13">
        <f>SUMIFS('Лист2'!C:C, 'Лист2'!A:A, A55, 'Лист2'!B:B, B55)</f>
        <v>31</v>
      </c>
      <c r="F55" s="13"/>
      <c r="G55" s="13"/>
      <c r="H55" s="2">
        <f t="shared" si="1"/>
        <v>208097.8065</v>
      </c>
      <c r="I55" s="2">
        <f t="shared" si="2"/>
        <v>21</v>
      </c>
    </row>
    <row r="56" ht="14.25" customHeight="1">
      <c r="A56" s="11">
        <v>43967.0</v>
      </c>
      <c r="B56" s="12" t="s">
        <v>18</v>
      </c>
      <c r="C56" s="12">
        <v>14265.0</v>
      </c>
      <c r="D56" s="12">
        <v>1130506.5</v>
      </c>
      <c r="E56" s="13">
        <f>SUMIFS('Лист2'!C:C, 'Лист2'!A:A, A56, 'Лист2'!B:B, B56)</f>
        <v>10</v>
      </c>
      <c r="F56" s="13"/>
      <c r="G56" s="13"/>
      <c r="H56" s="2">
        <f t="shared" si="1"/>
        <v>113050.65</v>
      </c>
      <c r="I56" s="2">
        <f t="shared" si="2"/>
        <v>20</v>
      </c>
    </row>
    <row r="57" ht="14.25" customHeight="1">
      <c r="A57" s="14">
        <v>43970.0</v>
      </c>
      <c r="B57" s="15" t="s">
        <v>18</v>
      </c>
      <c r="C57" s="15">
        <v>11526.0</v>
      </c>
      <c r="D57" s="15">
        <v>938764.5</v>
      </c>
      <c r="E57" s="13">
        <f>SUMIFS('Лист2'!C:C, 'Лист2'!A:A, A57, 'Лист2'!B:B, B57)</f>
        <v>10</v>
      </c>
      <c r="F57" s="13"/>
      <c r="G57" s="13"/>
      <c r="H57" s="2">
        <f t="shared" si="1"/>
        <v>93876.45</v>
      </c>
      <c r="I57" s="2">
        <f t="shared" si="2"/>
        <v>21</v>
      </c>
    </row>
    <row r="58" ht="14.25" customHeight="1">
      <c r="A58" s="11">
        <v>43968.0</v>
      </c>
      <c r="B58" s="12" t="s">
        <v>18</v>
      </c>
      <c r="C58" s="12">
        <v>10402.5</v>
      </c>
      <c r="D58" s="12">
        <v>843727.5</v>
      </c>
      <c r="E58" s="13">
        <f>SUMIFS('Лист2'!C:C, 'Лист2'!A:A, A58, 'Лист2'!B:B, B58)</f>
        <v>10</v>
      </c>
      <c r="F58" s="13"/>
      <c r="G58" s="13"/>
      <c r="H58" s="2">
        <f t="shared" si="1"/>
        <v>84372.75</v>
      </c>
      <c r="I58" s="2">
        <f t="shared" si="2"/>
        <v>20</v>
      </c>
    </row>
    <row r="59" ht="14.25" customHeight="1">
      <c r="A59" s="14">
        <v>43960.0</v>
      </c>
      <c r="B59" s="15" t="s">
        <v>18</v>
      </c>
      <c r="C59" s="15">
        <v>13216.5</v>
      </c>
      <c r="D59" s="15">
        <v>1046400.0</v>
      </c>
      <c r="E59" s="13">
        <f>SUMIFS('Лист2'!C:C, 'Лист2'!A:A, A59, 'Лист2'!B:B, B59)</f>
        <v>10</v>
      </c>
      <c r="F59" s="13"/>
      <c r="G59" s="13"/>
      <c r="H59" s="2">
        <f t="shared" si="1"/>
        <v>104640</v>
      </c>
      <c r="I59" s="2">
        <f t="shared" si="2"/>
        <v>19</v>
      </c>
    </row>
    <row r="60" ht="14.25" customHeight="1">
      <c r="A60" s="11">
        <v>43955.0</v>
      </c>
      <c r="B60" s="12" t="s">
        <v>18</v>
      </c>
      <c r="C60" s="12">
        <v>9130.5</v>
      </c>
      <c r="D60" s="12">
        <v>728890.5</v>
      </c>
      <c r="E60" s="13">
        <f>SUMIFS('Лист2'!C:C, 'Лист2'!A:A, A60, 'Лист2'!B:B, B60)</f>
        <v>10</v>
      </c>
      <c r="F60" s="13"/>
      <c r="G60" s="13"/>
      <c r="H60" s="2">
        <f t="shared" si="1"/>
        <v>72889.05</v>
      </c>
      <c r="I60" s="2">
        <f t="shared" si="2"/>
        <v>19</v>
      </c>
    </row>
    <row r="61" ht="14.25" customHeight="1">
      <c r="A61" s="14">
        <v>43950.0</v>
      </c>
      <c r="B61" s="15" t="s">
        <v>18</v>
      </c>
      <c r="C61" s="15">
        <v>10840.5</v>
      </c>
      <c r="D61" s="15">
        <v>797919.0</v>
      </c>
      <c r="E61" s="13">
        <f>SUMIFS('Лист2'!C:C, 'Лист2'!A:A, A61, 'Лист2'!B:B, B61)</f>
        <v>10</v>
      </c>
      <c r="F61" s="13"/>
      <c r="G61" s="13"/>
      <c r="H61" s="2">
        <f t="shared" si="1"/>
        <v>79791.9</v>
      </c>
      <c r="I61" s="2">
        <f t="shared" si="2"/>
        <v>18</v>
      </c>
    </row>
    <row r="62" ht="14.25" customHeight="1">
      <c r="A62" s="11">
        <v>43953.0</v>
      </c>
      <c r="B62" s="12" t="s">
        <v>18</v>
      </c>
      <c r="C62" s="12">
        <v>7866.0</v>
      </c>
      <c r="D62" s="12">
        <v>617881.5</v>
      </c>
      <c r="E62" s="13">
        <f>SUMIFS('Лист2'!C:C, 'Лист2'!A:A, A62, 'Лист2'!B:B, B62)</f>
        <v>10</v>
      </c>
      <c r="F62" s="13"/>
      <c r="G62" s="13"/>
      <c r="H62" s="2">
        <f t="shared" si="1"/>
        <v>61788.15</v>
      </c>
      <c r="I62" s="2">
        <f t="shared" si="2"/>
        <v>18</v>
      </c>
    </row>
    <row r="63" ht="14.25" customHeight="1">
      <c r="A63" s="14">
        <v>43977.0</v>
      </c>
      <c r="B63" s="15" t="s">
        <v>18</v>
      </c>
      <c r="C63" s="15">
        <v>11835.0</v>
      </c>
      <c r="D63" s="15">
        <v>983109.0</v>
      </c>
      <c r="E63" s="13">
        <f>SUMIFS('Лист2'!C:C, 'Лист2'!A:A, A63, 'Лист2'!B:B, B63)</f>
        <v>10</v>
      </c>
      <c r="F63" s="13"/>
      <c r="G63" s="13"/>
      <c r="H63" s="2">
        <f t="shared" si="1"/>
        <v>98310.9</v>
      </c>
      <c r="I63" s="2">
        <f t="shared" si="2"/>
        <v>22</v>
      </c>
    </row>
    <row r="64" ht="14.25" customHeight="1">
      <c r="A64" s="11">
        <v>43952.0</v>
      </c>
      <c r="B64" s="12" t="s">
        <v>18</v>
      </c>
      <c r="C64" s="12">
        <v>11619.0</v>
      </c>
      <c r="D64" s="12">
        <v>891139.5</v>
      </c>
      <c r="E64" s="13">
        <f>SUMIFS('Лист2'!C:C, 'Лист2'!A:A, A64, 'Лист2'!B:B, B64)</f>
        <v>10</v>
      </c>
      <c r="F64" s="13"/>
      <c r="G64" s="13"/>
      <c r="H64" s="2">
        <f t="shared" si="1"/>
        <v>89113.95</v>
      </c>
      <c r="I64" s="2">
        <f t="shared" si="2"/>
        <v>18</v>
      </c>
    </row>
    <row r="65" ht="14.25" customHeight="1">
      <c r="A65" s="14">
        <v>43963.0</v>
      </c>
      <c r="B65" s="15" t="s">
        <v>18</v>
      </c>
      <c r="C65" s="15">
        <v>9328.5</v>
      </c>
      <c r="D65" s="15">
        <v>732964.5</v>
      </c>
      <c r="E65" s="13">
        <f>SUMIFS('Лист2'!C:C, 'Лист2'!A:A, A65, 'Лист2'!B:B, B65)</f>
        <v>10</v>
      </c>
      <c r="F65" s="13"/>
      <c r="G65" s="13"/>
      <c r="H65" s="2">
        <f t="shared" si="1"/>
        <v>73296.45</v>
      </c>
      <c r="I65" s="2">
        <f t="shared" si="2"/>
        <v>20</v>
      </c>
    </row>
    <row r="66" ht="14.25" customHeight="1">
      <c r="A66" s="11">
        <v>43972.0</v>
      </c>
      <c r="B66" s="12" t="s">
        <v>18</v>
      </c>
      <c r="C66" s="12">
        <v>11250.0</v>
      </c>
      <c r="D66" s="12">
        <v>935523.0</v>
      </c>
      <c r="E66" s="13">
        <f>SUMIFS('Лист2'!C:C, 'Лист2'!A:A, A66, 'Лист2'!B:B, B66)</f>
        <v>10</v>
      </c>
      <c r="F66" s="13"/>
      <c r="G66" s="13"/>
      <c r="H66" s="2">
        <f t="shared" si="1"/>
        <v>93552.3</v>
      </c>
      <c r="I66" s="2">
        <f t="shared" si="2"/>
        <v>21</v>
      </c>
    </row>
    <row r="67" ht="14.25" customHeight="1">
      <c r="A67" s="14">
        <v>43971.0</v>
      </c>
      <c r="B67" s="15" t="s">
        <v>18</v>
      </c>
      <c r="C67" s="15">
        <v>13063.5</v>
      </c>
      <c r="D67" s="15">
        <v>1037247.0</v>
      </c>
      <c r="E67" s="13">
        <f>SUMIFS('Лист2'!C:C, 'Лист2'!A:A, A67, 'Лист2'!B:B, B67)</f>
        <v>10</v>
      </c>
      <c r="F67" s="13"/>
      <c r="G67" s="13"/>
      <c r="H67" s="2">
        <f t="shared" si="1"/>
        <v>103724.7</v>
      </c>
      <c r="I67" s="2">
        <f t="shared" si="2"/>
        <v>21</v>
      </c>
    </row>
    <row r="68" ht="14.25" customHeight="1">
      <c r="A68" s="11">
        <v>43956.0</v>
      </c>
      <c r="B68" s="12" t="s">
        <v>18</v>
      </c>
      <c r="C68" s="12">
        <v>10147.5</v>
      </c>
      <c r="D68" s="12">
        <v>793320.0</v>
      </c>
      <c r="E68" s="13">
        <f>SUMIFS('Лист2'!C:C, 'Лист2'!A:A, A68, 'Лист2'!B:B, B68)</f>
        <v>10</v>
      </c>
      <c r="F68" s="13"/>
      <c r="G68" s="13"/>
      <c r="H68" s="2">
        <f t="shared" si="1"/>
        <v>79332</v>
      </c>
      <c r="I68" s="2">
        <f t="shared" si="2"/>
        <v>19</v>
      </c>
    </row>
    <row r="69" ht="14.25" customHeight="1">
      <c r="A69" s="14">
        <v>43949.0</v>
      </c>
      <c r="B69" s="15" t="s">
        <v>18</v>
      </c>
      <c r="C69" s="15">
        <v>12331.5</v>
      </c>
      <c r="D69" s="15">
        <v>869983.5</v>
      </c>
      <c r="E69" s="13">
        <f>SUMIFS('Лист2'!C:C, 'Лист2'!A:A, A69, 'Лист2'!B:B, B69)</f>
        <v>10</v>
      </c>
      <c r="F69" s="13"/>
      <c r="G69" s="13"/>
      <c r="H69" s="2">
        <f t="shared" si="1"/>
        <v>86998.35</v>
      </c>
      <c r="I69" s="2">
        <f t="shared" si="2"/>
        <v>18</v>
      </c>
    </row>
    <row r="70" ht="14.25" customHeight="1">
      <c r="A70" s="11">
        <v>43964.0</v>
      </c>
      <c r="B70" s="12" t="s">
        <v>18</v>
      </c>
      <c r="C70" s="12">
        <v>11202.0</v>
      </c>
      <c r="D70" s="12">
        <v>865714.5</v>
      </c>
      <c r="E70" s="13">
        <f>SUMIFS('Лист2'!C:C, 'Лист2'!A:A, A70, 'Лист2'!B:B, B70)</f>
        <v>10</v>
      </c>
      <c r="F70" s="13"/>
      <c r="G70" s="13"/>
      <c r="H70" s="2">
        <f t="shared" si="1"/>
        <v>86571.45</v>
      </c>
      <c r="I70" s="2">
        <f t="shared" si="2"/>
        <v>20</v>
      </c>
    </row>
    <row r="71" ht="14.25" customHeight="1">
      <c r="A71" s="14">
        <v>43982.0</v>
      </c>
      <c r="B71" s="15" t="s">
        <v>5</v>
      </c>
      <c r="C71" s="15">
        <v>89149.5</v>
      </c>
      <c r="D71" s="15">
        <v>7512646.5</v>
      </c>
      <c r="E71" s="13">
        <f>SUMIFS('Лист2'!C:C, 'Лист2'!A:A, A71, 'Лист2'!B:B, B71)</f>
        <v>31</v>
      </c>
      <c r="F71" s="13"/>
      <c r="G71" s="13"/>
      <c r="H71" s="2">
        <f t="shared" si="1"/>
        <v>242343.4355</v>
      </c>
      <c r="I71" s="2">
        <f t="shared" si="2"/>
        <v>22</v>
      </c>
    </row>
    <row r="72" ht="14.25" customHeight="1">
      <c r="A72" s="11">
        <v>43954.0</v>
      </c>
      <c r="B72" s="12" t="s">
        <v>18</v>
      </c>
      <c r="C72" s="12">
        <v>8185.5</v>
      </c>
      <c r="D72" s="12">
        <v>637881.0</v>
      </c>
      <c r="E72" s="13">
        <f>SUMIFS('Лист2'!C:C, 'Лист2'!A:A, A72, 'Лист2'!B:B, B72)</f>
        <v>10</v>
      </c>
      <c r="F72" s="13"/>
      <c r="G72" s="13"/>
      <c r="H72" s="2">
        <f t="shared" si="1"/>
        <v>63788.1</v>
      </c>
      <c r="I72" s="2">
        <f t="shared" si="2"/>
        <v>18</v>
      </c>
    </row>
    <row r="73" ht="14.25" customHeight="1">
      <c r="A73" s="14">
        <v>43981.0</v>
      </c>
      <c r="B73" s="15" t="s">
        <v>5</v>
      </c>
      <c r="C73" s="15">
        <v>108123.0</v>
      </c>
      <c r="D73" s="15">
        <v>9164707.5</v>
      </c>
      <c r="E73" s="13">
        <f>SUMIFS('Лист2'!C:C, 'Лист2'!A:A, A73, 'Лист2'!B:B, B73)</f>
        <v>31</v>
      </c>
      <c r="F73" s="13"/>
      <c r="G73" s="13"/>
      <c r="H73" s="2">
        <f t="shared" si="1"/>
        <v>295635.7258</v>
      </c>
      <c r="I73" s="2">
        <f t="shared" si="2"/>
        <v>22</v>
      </c>
    </row>
    <row r="74" ht="14.25" customHeight="1">
      <c r="A74" s="11">
        <v>43957.0</v>
      </c>
      <c r="B74" s="12" t="s">
        <v>18</v>
      </c>
      <c r="C74" s="12">
        <v>9210.0</v>
      </c>
      <c r="D74" s="12">
        <v>696832.5</v>
      </c>
      <c r="E74" s="13">
        <f>SUMIFS('Лист2'!C:C, 'Лист2'!A:A, A74, 'Лист2'!B:B, B74)</f>
        <v>10</v>
      </c>
      <c r="F74" s="13"/>
      <c r="G74" s="13"/>
      <c r="H74" s="2">
        <f t="shared" si="1"/>
        <v>69683.25</v>
      </c>
      <c r="I74" s="2">
        <f t="shared" si="2"/>
        <v>19</v>
      </c>
    </row>
    <row r="75" ht="14.25" customHeight="1">
      <c r="A75" s="14">
        <v>43974.0</v>
      </c>
      <c r="B75" s="15" t="s">
        <v>18</v>
      </c>
      <c r="C75" s="15">
        <v>14773.5</v>
      </c>
      <c r="D75" s="15">
        <v>1241383.5</v>
      </c>
      <c r="E75" s="13">
        <f>SUMIFS('Лист2'!C:C, 'Лист2'!A:A, A75, 'Лист2'!B:B, B75)</f>
        <v>10</v>
      </c>
      <c r="F75" s="13"/>
      <c r="G75" s="13"/>
      <c r="H75" s="2">
        <f t="shared" si="1"/>
        <v>124138.35</v>
      </c>
      <c r="I75" s="2">
        <f t="shared" si="2"/>
        <v>21</v>
      </c>
    </row>
    <row r="76" ht="14.25" customHeight="1">
      <c r="A76" s="11">
        <v>43979.0</v>
      </c>
      <c r="B76" s="12" t="s">
        <v>5</v>
      </c>
      <c r="C76" s="12">
        <v>78141.0</v>
      </c>
      <c r="D76" s="12">
        <v>6641569.5</v>
      </c>
      <c r="E76" s="13">
        <f>SUMIFS('Лист2'!C:C, 'Лист2'!A:A, A76, 'Лист2'!B:B, B76)</f>
        <v>31</v>
      </c>
      <c r="F76" s="13"/>
      <c r="G76" s="13"/>
      <c r="H76" s="2">
        <f t="shared" si="1"/>
        <v>214244.1774</v>
      </c>
      <c r="I76" s="2">
        <f t="shared" si="2"/>
        <v>22</v>
      </c>
    </row>
    <row r="77" ht="14.25" customHeight="1">
      <c r="A77" s="14">
        <v>43976.0</v>
      </c>
      <c r="B77" s="15" t="s">
        <v>18</v>
      </c>
      <c r="C77" s="15">
        <v>12280.5</v>
      </c>
      <c r="D77" s="15">
        <v>1030440.0</v>
      </c>
      <c r="E77" s="13">
        <f>SUMIFS('Лист2'!C:C, 'Лист2'!A:A, A77, 'Лист2'!B:B, B77)</f>
        <v>10</v>
      </c>
      <c r="F77" s="13"/>
      <c r="G77" s="13"/>
      <c r="H77" s="2">
        <f t="shared" si="1"/>
        <v>103044</v>
      </c>
      <c r="I77" s="2">
        <f t="shared" si="2"/>
        <v>22</v>
      </c>
    </row>
    <row r="78" ht="14.25" customHeight="1">
      <c r="A78" s="11">
        <v>43951.0</v>
      </c>
      <c r="B78" s="12" t="s">
        <v>18</v>
      </c>
      <c r="C78" s="12">
        <v>8934.0</v>
      </c>
      <c r="D78" s="12">
        <v>716196.0</v>
      </c>
      <c r="E78" s="13">
        <f>SUMIFS('Лист2'!C:C, 'Лист2'!A:A, A78, 'Лист2'!B:B, B78)</f>
        <v>10</v>
      </c>
      <c r="F78" s="13"/>
      <c r="G78" s="13"/>
      <c r="H78" s="2">
        <f t="shared" si="1"/>
        <v>71619.6</v>
      </c>
      <c r="I78" s="2">
        <f t="shared" si="2"/>
        <v>18</v>
      </c>
    </row>
    <row r="79" ht="14.25" customHeight="1">
      <c r="A79" s="14">
        <v>43961.0</v>
      </c>
      <c r="B79" s="15" t="s">
        <v>18</v>
      </c>
      <c r="C79" s="15">
        <v>12918.0</v>
      </c>
      <c r="D79" s="15">
        <v>1004788.5</v>
      </c>
      <c r="E79" s="13">
        <f>SUMIFS('Лист2'!C:C, 'Лист2'!A:A, A79, 'Лист2'!B:B, B79)</f>
        <v>10</v>
      </c>
      <c r="F79" s="13"/>
      <c r="G79" s="13"/>
      <c r="H79" s="2">
        <f t="shared" si="1"/>
        <v>100478.85</v>
      </c>
      <c r="I79" s="2">
        <f t="shared" si="2"/>
        <v>19</v>
      </c>
    </row>
    <row r="80" ht="14.25" customHeight="1">
      <c r="A80" s="11">
        <v>43959.0</v>
      </c>
      <c r="B80" s="12" t="s">
        <v>18</v>
      </c>
      <c r="C80" s="12">
        <v>12528.0</v>
      </c>
      <c r="D80" s="12">
        <v>959703.0</v>
      </c>
      <c r="E80" s="13">
        <f>SUMIFS('Лист2'!C:C, 'Лист2'!A:A, A80, 'Лист2'!B:B, B80)</f>
        <v>10</v>
      </c>
      <c r="F80" s="13"/>
      <c r="G80" s="13"/>
      <c r="H80" s="2">
        <f t="shared" si="1"/>
        <v>95970.3</v>
      </c>
      <c r="I80" s="2">
        <f t="shared" si="2"/>
        <v>19</v>
      </c>
    </row>
    <row r="81" ht="14.25" customHeight="1">
      <c r="A81" s="14">
        <v>43958.0</v>
      </c>
      <c r="B81" s="15" t="s">
        <v>18</v>
      </c>
      <c r="C81" s="15">
        <v>11029.5</v>
      </c>
      <c r="D81" s="15">
        <v>863754.0</v>
      </c>
      <c r="E81" s="13">
        <f>SUMIFS('Лист2'!C:C, 'Лист2'!A:A, A81, 'Лист2'!B:B, B81)</f>
        <v>10</v>
      </c>
      <c r="F81" s="13"/>
      <c r="G81" s="13"/>
      <c r="H81" s="2">
        <f t="shared" si="1"/>
        <v>86375.4</v>
      </c>
      <c r="I81" s="2">
        <f t="shared" si="2"/>
        <v>19</v>
      </c>
    </row>
    <row r="82" ht="14.25" customHeight="1">
      <c r="A82" s="11">
        <v>43975.0</v>
      </c>
      <c r="B82" s="12" t="s">
        <v>18</v>
      </c>
      <c r="C82" s="12">
        <v>9994.5</v>
      </c>
      <c r="D82" s="12">
        <v>828984.0</v>
      </c>
      <c r="E82" s="13">
        <f>SUMIFS('Лист2'!C:C, 'Лист2'!A:A, A82, 'Лист2'!B:B, B82)</f>
        <v>10</v>
      </c>
      <c r="F82" s="13"/>
      <c r="G82" s="13"/>
      <c r="H82" s="2">
        <f t="shared" si="1"/>
        <v>82898.4</v>
      </c>
      <c r="I82" s="2">
        <f t="shared" si="2"/>
        <v>21</v>
      </c>
    </row>
    <row r="83" ht="14.25" customHeight="1">
      <c r="A83" s="14">
        <v>43982.0</v>
      </c>
      <c r="B83" s="15" t="s">
        <v>18</v>
      </c>
      <c r="C83" s="15">
        <v>12724.5</v>
      </c>
      <c r="D83" s="15">
        <v>1045515.0</v>
      </c>
      <c r="E83" s="13">
        <f>SUMIFS('Лист2'!C:C, 'Лист2'!A:A, A83, 'Лист2'!B:B, B83)</f>
        <v>10</v>
      </c>
      <c r="F83" s="13"/>
      <c r="G83" s="13"/>
      <c r="H83" s="2">
        <f t="shared" si="1"/>
        <v>104551.5</v>
      </c>
      <c r="I83" s="2">
        <f t="shared" si="2"/>
        <v>22</v>
      </c>
    </row>
    <row r="84" ht="14.25" customHeight="1">
      <c r="A84" s="11">
        <v>43981.0</v>
      </c>
      <c r="B84" s="12" t="s">
        <v>18</v>
      </c>
      <c r="C84" s="12">
        <v>14728.5</v>
      </c>
      <c r="D84" s="12">
        <v>1260483.0</v>
      </c>
      <c r="E84" s="13">
        <f>SUMIFS('Лист2'!C:C, 'Лист2'!A:A, A84, 'Лист2'!B:B, B84)</f>
        <v>10</v>
      </c>
      <c r="F84" s="13"/>
      <c r="G84" s="13"/>
      <c r="H84" s="2">
        <f t="shared" si="1"/>
        <v>126048.3</v>
      </c>
      <c r="I84" s="2">
        <f t="shared" si="2"/>
        <v>22</v>
      </c>
    </row>
    <row r="85" ht="14.25" customHeight="1">
      <c r="A85" s="14">
        <v>43979.0</v>
      </c>
      <c r="B85" s="15" t="s">
        <v>18</v>
      </c>
      <c r="C85" s="15">
        <v>13038.0</v>
      </c>
      <c r="D85" s="15">
        <v>1114552.5</v>
      </c>
      <c r="E85" s="13">
        <f>SUMIFS('Лист2'!C:C, 'Лист2'!A:A, A85, 'Лист2'!B:B, B85)</f>
        <v>10</v>
      </c>
      <c r="F85" s="13"/>
      <c r="G85" s="13"/>
      <c r="H85" s="2">
        <f t="shared" si="1"/>
        <v>111455.25</v>
      </c>
      <c r="I85" s="2">
        <f t="shared" si="2"/>
        <v>22</v>
      </c>
    </row>
    <row r="86" ht="14.25" customHeight="1">
      <c r="A86" s="11">
        <v>43967.0</v>
      </c>
      <c r="B86" s="12" t="s">
        <v>11</v>
      </c>
      <c r="C86" s="12">
        <v>35482.5</v>
      </c>
      <c r="D86" s="12">
        <v>3222517.5</v>
      </c>
      <c r="E86" s="13">
        <f>SUMIFS('Лист2'!C:C, 'Лист2'!A:A, A86, 'Лист2'!B:B, B86)</f>
        <v>19</v>
      </c>
      <c r="F86" s="13"/>
      <c r="G86" s="13"/>
      <c r="H86" s="2">
        <f t="shared" si="1"/>
        <v>169606.1842</v>
      </c>
      <c r="I86" s="2">
        <f t="shared" si="2"/>
        <v>20</v>
      </c>
    </row>
    <row r="87" ht="14.25" customHeight="1">
      <c r="A87" s="14">
        <v>43970.0</v>
      </c>
      <c r="B87" s="15" t="s">
        <v>11</v>
      </c>
      <c r="C87" s="15">
        <v>32434.5</v>
      </c>
      <c r="D87" s="15">
        <v>2865337.5</v>
      </c>
      <c r="E87" s="13">
        <f>SUMIFS('Лист2'!C:C, 'Лист2'!A:A, A87, 'Лист2'!B:B, B87)</f>
        <v>19</v>
      </c>
      <c r="F87" s="13"/>
      <c r="G87" s="13"/>
      <c r="H87" s="2">
        <f t="shared" si="1"/>
        <v>150807.2368</v>
      </c>
      <c r="I87" s="2">
        <f t="shared" si="2"/>
        <v>21</v>
      </c>
    </row>
    <row r="88" ht="14.25" customHeight="1">
      <c r="A88" s="11">
        <v>43968.0</v>
      </c>
      <c r="B88" s="12" t="s">
        <v>11</v>
      </c>
      <c r="C88" s="12">
        <v>30486.0</v>
      </c>
      <c r="D88" s="12">
        <v>2694289.5</v>
      </c>
      <c r="E88" s="13">
        <f>SUMIFS('Лист2'!C:C, 'Лист2'!A:A, A88, 'Лист2'!B:B, B88)</f>
        <v>19</v>
      </c>
      <c r="F88" s="13"/>
      <c r="G88" s="13"/>
      <c r="H88" s="2">
        <f t="shared" si="1"/>
        <v>141804.7105</v>
      </c>
      <c r="I88" s="2">
        <f t="shared" si="2"/>
        <v>20</v>
      </c>
    </row>
    <row r="89" ht="14.25" customHeight="1">
      <c r="A89" s="14">
        <v>43960.0</v>
      </c>
      <c r="B89" s="15" t="s">
        <v>11</v>
      </c>
      <c r="C89" s="15">
        <v>32079.0</v>
      </c>
      <c r="D89" s="15">
        <v>2902167.0</v>
      </c>
      <c r="E89" s="13">
        <f>SUMIFS('Лист2'!C:C, 'Лист2'!A:A, A89, 'Лист2'!B:B, B89)</f>
        <v>19</v>
      </c>
      <c r="F89" s="13"/>
      <c r="G89" s="13"/>
      <c r="H89" s="2">
        <f t="shared" si="1"/>
        <v>152745.6316</v>
      </c>
      <c r="I89" s="2">
        <f t="shared" si="2"/>
        <v>19</v>
      </c>
    </row>
    <row r="90" ht="14.25" customHeight="1">
      <c r="A90" s="11">
        <v>43955.0</v>
      </c>
      <c r="B90" s="12" t="s">
        <v>11</v>
      </c>
      <c r="C90" s="12">
        <v>27072.0</v>
      </c>
      <c r="D90" s="12">
        <v>2450968.5</v>
      </c>
      <c r="E90" s="13">
        <f>SUMIFS('Лист2'!C:C, 'Лист2'!A:A, A90, 'Лист2'!B:B, B90)</f>
        <v>19</v>
      </c>
      <c r="F90" s="13"/>
      <c r="G90" s="13"/>
      <c r="H90" s="2">
        <f t="shared" si="1"/>
        <v>128998.3421</v>
      </c>
      <c r="I90" s="2">
        <f t="shared" si="2"/>
        <v>19</v>
      </c>
    </row>
    <row r="91" ht="14.25" customHeight="1">
      <c r="A91" s="14">
        <v>43950.0</v>
      </c>
      <c r="B91" s="15" t="s">
        <v>11</v>
      </c>
      <c r="C91" s="15">
        <v>25917.0</v>
      </c>
      <c r="D91" s="15">
        <v>2397588.0</v>
      </c>
      <c r="E91" s="13">
        <f>SUMIFS('Лист2'!C:C, 'Лист2'!A:A, A91, 'Лист2'!B:B, B91)</f>
        <v>18</v>
      </c>
      <c r="F91" s="13"/>
      <c r="G91" s="13"/>
      <c r="H91" s="2">
        <f t="shared" si="1"/>
        <v>133199.3333</v>
      </c>
      <c r="I91" s="2">
        <f t="shared" si="2"/>
        <v>18</v>
      </c>
    </row>
    <row r="92" ht="14.25" customHeight="1">
      <c r="A92" s="11">
        <v>43953.0</v>
      </c>
      <c r="B92" s="12" t="s">
        <v>11</v>
      </c>
      <c r="C92" s="12">
        <v>19461.0</v>
      </c>
      <c r="D92" s="12">
        <v>1799230.5</v>
      </c>
      <c r="E92" s="13">
        <f>SUMIFS('Лист2'!C:C, 'Лист2'!A:A, A92, 'Лист2'!B:B, B92)</f>
        <v>19</v>
      </c>
      <c r="F92" s="13"/>
      <c r="G92" s="13"/>
      <c r="H92" s="2">
        <f t="shared" si="1"/>
        <v>94696.34211</v>
      </c>
      <c r="I92" s="2">
        <f t="shared" si="2"/>
        <v>18</v>
      </c>
    </row>
    <row r="93" ht="14.25" customHeight="1">
      <c r="A93" s="14">
        <v>43977.0</v>
      </c>
      <c r="B93" s="15" t="s">
        <v>11</v>
      </c>
      <c r="C93" s="15">
        <v>31407.0</v>
      </c>
      <c r="D93" s="15">
        <v>2907411.0</v>
      </c>
      <c r="E93" s="13">
        <f>SUMIFS('Лист2'!C:C, 'Лист2'!A:A, A93, 'Лист2'!B:B, B93)</f>
        <v>20</v>
      </c>
      <c r="F93" s="13"/>
      <c r="G93" s="13"/>
      <c r="H93" s="2">
        <f t="shared" si="1"/>
        <v>145370.55</v>
      </c>
      <c r="I93" s="2">
        <f t="shared" si="2"/>
        <v>22</v>
      </c>
    </row>
    <row r="94" ht="14.25" customHeight="1">
      <c r="A94" s="11">
        <v>43952.0</v>
      </c>
      <c r="B94" s="12" t="s">
        <v>11</v>
      </c>
      <c r="C94" s="12">
        <v>25792.5</v>
      </c>
      <c r="D94" s="12">
        <v>2374356.0</v>
      </c>
      <c r="E94" s="13">
        <f>SUMIFS('Лист2'!C:C, 'Лист2'!A:A, A94, 'Лист2'!B:B, B94)</f>
        <v>19</v>
      </c>
      <c r="F94" s="13"/>
      <c r="G94" s="13"/>
      <c r="H94" s="2">
        <f t="shared" si="1"/>
        <v>124966.1053</v>
      </c>
      <c r="I94" s="2">
        <f t="shared" si="2"/>
        <v>18</v>
      </c>
    </row>
    <row r="95" ht="14.25" customHeight="1">
      <c r="A95" s="14">
        <v>43963.0</v>
      </c>
      <c r="B95" s="15" t="s">
        <v>11</v>
      </c>
      <c r="C95" s="15">
        <v>26032.5</v>
      </c>
      <c r="D95" s="15">
        <v>2370432.0</v>
      </c>
      <c r="E95" s="13">
        <f>SUMIFS('Лист2'!C:C, 'Лист2'!A:A, A95, 'Лист2'!B:B, B95)</f>
        <v>19</v>
      </c>
      <c r="F95" s="13"/>
      <c r="G95" s="13"/>
      <c r="H95" s="2">
        <f t="shared" si="1"/>
        <v>124759.5789</v>
      </c>
      <c r="I95" s="2">
        <f t="shared" si="2"/>
        <v>20</v>
      </c>
    </row>
    <row r="96" ht="14.25" customHeight="1">
      <c r="A96" s="11">
        <v>43972.0</v>
      </c>
      <c r="B96" s="12" t="s">
        <v>11</v>
      </c>
      <c r="C96" s="12">
        <v>31707.0</v>
      </c>
      <c r="D96" s="12">
        <v>2853181.5</v>
      </c>
      <c r="E96" s="13">
        <f>SUMIFS('Лист2'!C:C, 'Лист2'!A:A, A96, 'Лист2'!B:B, B96)</f>
        <v>19</v>
      </c>
      <c r="F96" s="13"/>
      <c r="G96" s="13"/>
      <c r="H96" s="2">
        <f t="shared" si="1"/>
        <v>150167.4474</v>
      </c>
      <c r="I96" s="2">
        <f t="shared" si="2"/>
        <v>21</v>
      </c>
    </row>
    <row r="97" ht="14.25" customHeight="1">
      <c r="A97" s="14">
        <v>43971.0</v>
      </c>
      <c r="B97" s="15" t="s">
        <v>11</v>
      </c>
      <c r="C97" s="15">
        <v>29955.0</v>
      </c>
      <c r="D97" s="15">
        <v>2692230.0</v>
      </c>
      <c r="E97" s="13">
        <f>SUMIFS('Лист2'!C:C, 'Лист2'!A:A, A97, 'Лист2'!B:B, B97)</f>
        <v>19</v>
      </c>
      <c r="F97" s="13"/>
      <c r="G97" s="13"/>
      <c r="H97" s="2">
        <f t="shared" si="1"/>
        <v>141696.3158</v>
      </c>
      <c r="I97" s="2">
        <f t="shared" si="2"/>
        <v>21</v>
      </c>
    </row>
    <row r="98" ht="14.25" customHeight="1">
      <c r="A98" s="11">
        <v>43956.0</v>
      </c>
      <c r="B98" s="12" t="s">
        <v>11</v>
      </c>
      <c r="C98" s="12">
        <v>22848.0</v>
      </c>
      <c r="D98" s="12">
        <v>2079900.0</v>
      </c>
      <c r="E98" s="13">
        <f>SUMIFS('Лист2'!C:C, 'Лист2'!A:A, A98, 'Лист2'!B:B, B98)</f>
        <v>19</v>
      </c>
      <c r="F98" s="13"/>
      <c r="G98" s="13"/>
      <c r="H98" s="2">
        <f t="shared" si="1"/>
        <v>109468.4211</v>
      </c>
      <c r="I98" s="2">
        <f t="shared" si="2"/>
        <v>19</v>
      </c>
    </row>
    <row r="99" ht="14.25" customHeight="1">
      <c r="A99" s="14">
        <v>43949.0</v>
      </c>
      <c r="B99" s="15" t="s">
        <v>11</v>
      </c>
      <c r="C99" s="15">
        <v>23314.5</v>
      </c>
      <c r="D99" s="15">
        <v>2136817.5</v>
      </c>
      <c r="E99" s="13">
        <f>SUMIFS('Лист2'!C:C, 'Лист2'!A:A, A99, 'Лист2'!B:B, B99)</f>
        <v>17</v>
      </c>
      <c r="F99" s="13"/>
      <c r="G99" s="13"/>
      <c r="H99" s="2">
        <f t="shared" si="1"/>
        <v>125695.1471</v>
      </c>
      <c r="I99" s="2">
        <f t="shared" si="2"/>
        <v>18</v>
      </c>
    </row>
    <row r="100" ht="14.25" customHeight="1">
      <c r="A100" s="11">
        <v>43964.0</v>
      </c>
      <c r="B100" s="12" t="s">
        <v>11</v>
      </c>
      <c r="C100" s="12">
        <v>26464.5</v>
      </c>
      <c r="D100" s="12">
        <v>2373337.5</v>
      </c>
      <c r="E100" s="13">
        <f>SUMIFS('Лист2'!C:C, 'Лист2'!A:A, A100, 'Лист2'!B:B, B100)</f>
        <v>19</v>
      </c>
      <c r="F100" s="13"/>
      <c r="G100" s="13"/>
      <c r="H100" s="2">
        <f t="shared" si="1"/>
        <v>124912.5</v>
      </c>
      <c r="I100" s="2">
        <f t="shared" si="2"/>
        <v>20</v>
      </c>
    </row>
    <row r="101" ht="14.25" customHeight="1">
      <c r="A101" s="14">
        <v>43954.0</v>
      </c>
      <c r="B101" s="15" t="s">
        <v>11</v>
      </c>
      <c r="C101" s="15">
        <v>23539.5</v>
      </c>
      <c r="D101" s="15">
        <v>2170309.5</v>
      </c>
      <c r="E101" s="13">
        <f>SUMIFS('Лист2'!C:C, 'Лист2'!A:A, A101, 'Лист2'!B:B, B101)</f>
        <v>19</v>
      </c>
      <c r="F101" s="13"/>
      <c r="G101" s="13"/>
      <c r="H101" s="2">
        <f t="shared" si="1"/>
        <v>114226.8158</v>
      </c>
      <c r="I101" s="2">
        <f t="shared" si="2"/>
        <v>18</v>
      </c>
    </row>
    <row r="102" ht="14.25" customHeight="1">
      <c r="A102" s="11">
        <v>43957.0</v>
      </c>
      <c r="B102" s="12" t="s">
        <v>11</v>
      </c>
      <c r="C102" s="12">
        <v>24678.0</v>
      </c>
      <c r="D102" s="12">
        <v>2232519.0</v>
      </c>
      <c r="E102" s="13">
        <f>SUMIFS('Лист2'!C:C, 'Лист2'!A:A, A102, 'Лист2'!B:B, B102)</f>
        <v>19</v>
      </c>
      <c r="F102" s="13"/>
      <c r="G102" s="13"/>
      <c r="H102" s="2">
        <f t="shared" si="1"/>
        <v>117501</v>
      </c>
      <c r="I102" s="2">
        <f t="shared" si="2"/>
        <v>19</v>
      </c>
    </row>
    <row r="103" ht="14.25" customHeight="1">
      <c r="A103" s="14">
        <v>43974.0</v>
      </c>
      <c r="B103" s="15" t="s">
        <v>11</v>
      </c>
      <c r="C103" s="15">
        <v>38176.5</v>
      </c>
      <c r="D103" s="15">
        <v>3385372.5</v>
      </c>
      <c r="E103" s="13">
        <f>SUMIFS('Лист2'!C:C, 'Лист2'!A:A, A103, 'Лист2'!B:B, B103)</f>
        <v>20</v>
      </c>
      <c r="F103" s="13"/>
      <c r="G103" s="13"/>
      <c r="H103" s="2">
        <f t="shared" si="1"/>
        <v>169268.625</v>
      </c>
      <c r="I103" s="2">
        <f t="shared" si="2"/>
        <v>21</v>
      </c>
    </row>
    <row r="104" ht="14.25" customHeight="1">
      <c r="A104" s="11">
        <v>43976.0</v>
      </c>
      <c r="B104" s="12" t="s">
        <v>11</v>
      </c>
      <c r="C104" s="12">
        <v>30603.0</v>
      </c>
      <c r="D104" s="12">
        <v>2865727.5</v>
      </c>
      <c r="E104" s="13">
        <f>SUMIFS('Лист2'!C:C, 'Лист2'!A:A, A104, 'Лист2'!B:B, B104)</f>
        <v>20</v>
      </c>
      <c r="F104" s="13"/>
      <c r="G104" s="13"/>
      <c r="H104" s="2">
        <f t="shared" si="1"/>
        <v>143286.375</v>
      </c>
      <c r="I104" s="2">
        <f t="shared" si="2"/>
        <v>22</v>
      </c>
    </row>
    <row r="105" ht="14.25" customHeight="1">
      <c r="A105" s="14">
        <v>43951.0</v>
      </c>
      <c r="B105" s="15" t="s">
        <v>11</v>
      </c>
      <c r="C105" s="15">
        <v>24211.5</v>
      </c>
      <c r="D105" s="15">
        <v>2267664.0</v>
      </c>
      <c r="E105" s="13">
        <f>SUMIFS('Лист2'!C:C, 'Лист2'!A:A, A105, 'Лист2'!B:B, B105)</f>
        <v>19</v>
      </c>
      <c r="F105" s="13"/>
      <c r="G105" s="13"/>
      <c r="H105" s="2">
        <f t="shared" si="1"/>
        <v>119350.7368</v>
      </c>
      <c r="I105" s="2">
        <f t="shared" si="2"/>
        <v>18</v>
      </c>
    </row>
    <row r="106" ht="14.25" customHeight="1">
      <c r="A106" s="11">
        <v>43961.0</v>
      </c>
      <c r="B106" s="12" t="s">
        <v>11</v>
      </c>
      <c r="C106" s="12">
        <v>31399.5</v>
      </c>
      <c r="D106" s="12">
        <v>2862298.5</v>
      </c>
      <c r="E106" s="13">
        <f>SUMIFS('Лист2'!C:C, 'Лист2'!A:A, A106, 'Лист2'!B:B, B106)</f>
        <v>19</v>
      </c>
      <c r="F106" s="13"/>
      <c r="G106" s="13"/>
      <c r="H106" s="2">
        <f t="shared" si="1"/>
        <v>150647.2895</v>
      </c>
      <c r="I106" s="2">
        <f t="shared" si="2"/>
        <v>19</v>
      </c>
    </row>
    <row r="107" ht="14.25" customHeight="1">
      <c r="A107" s="14">
        <v>43959.0</v>
      </c>
      <c r="B107" s="15" t="s">
        <v>11</v>
      </c>
      <c r="C107" s="15">
        <v>25294.5</v>
      </c>
      <c r="D107" s="15">
        <v>2271454.5</v>
      </c>
      <c r="E107" s="13">
        <f>SUMIFS('Лист2'!C:C, 'Лист2'!A:A, A107, 'Лист2'!B:B, B107)</f>
        <v>19</v>
      </c>
      <c r="F107" s="13"/>
      <c r="G107" s="13"/>
      <c r="H107" s="2">
        <f t="shared" si="1"/>
        <v>119550.2368</v>
      </c>
      <c r="I107" s="2">
        <f t="shared" si="2"/>
        <v>19</v>
      </c>
    </row>
    <row r="108" ht="14.25" customHeight="1">
      <c r="A108" s="11">
        <v>43958.0</v>
      </c>
      <c r="B108" s="12" t="s">
        <v>11</v>
      </c>
      <c r="C108" s="12">
        <v>25468.5</v>
      </c>
      <c r="D108" s="12">
        <v>2350672.5</v>
      </c>
      <c r="E108" s="13">
        <f>SUMIFS('Лист2'!C:C, 'Лист2'!A:A, A108, 'Лист2'!B:B, B108)</f>
        <v>19</v>
      </c>
      <c r="F108" s="13"/>
      <c r="G108" s="13"/>
      <c r="H108" s="2">
        <f t="shared" si="1"/>
        <v>123719.6053</v>
      </c>
      <c r="I108" s="2">
        <f t="shared" si="2"/>
        <v>19</v>
      </c>
    </row>
    <row r="109" ht="14.25" customHeight="1">
      <c r="A109" s="14">
        <v>43975.0</v>
      </c>
      <c r="B109" s="15" t="s">
        <v>11</v>
      </c>
      <c r="C109" s="15">
        <v>31854.0</v>
      </c>
      <c r="D109" s="15">
        <v>2915533.5</v>
      </c>
      <c r="E109" s="13">
        <f>SUMIFS('Лист2'!C:C, 'Лист2'!A:A, A109, 'Лист2'!B:B, B109)</f>
        <v>20</v>
      </c>
      <c r="F109" s="13"/>
      <c r="G109" s="13"/>
      <c r="H109" s="2">
        <f t="shared" si="1"/>
        <v>145776.675</v>
      </c>
      <c r="I109" s="2">
        <f t="shared" si="2"/>
        <v>21</v>
      </c>
    </row>
    <row r="110" ht="14.25" customHeight="1">
      <c r="A110" s="11">
        <v>43982.0</v>
      </c>
      <c r="B110" s="12" t="s">
        <v>11</v>
      </c>
      <c r="C110" s="12">
        <v>32359.5</v>
      </c>
      <c r="D110" s="12">
        <v>2991999.0</v>
      </c>
      <c r="E110" s="13">
        <f>SUMIFS('Лист2'!C:C, 'Лист2'!A:A, A110, 'Лист2'!B:B, B110)</f>
        <v>20</v>
      </c>
      <c r="F110" s="13"/>
      <c r="G110" s="13"/>
      <c r="H110" s="2">
        <f t="shared" si="1"/>
        <v>149599.95</v>
      </c>
      <c r="I110" s="2">
        <f t="shared" si="2"/>
        <v>22</v>
      </c>
    </row>
    <row r="111" ht="14.25" customHeight="1">
      <c r="A111" s="14">
        <v>43981.0</v>
      </c>
      <c r="B111" s="15" t="s">
        <v>11</v>
      </c>
      <c r="C111" s="15">
        <v>39867.0</v>
      </c>
      <c r="D111" s="15">
        <v>3654166.5</v>
      </c>
      <c r="E111" s="13">
        <f>SUMIFS('Лист2'!C:C, 'Лист2'!A:A, A111, 'Лист2'!B:B, B111)</f>
        <v>20</v>
      </c>
      <c r="F111" s="13"/>
      <c r="G111" s="13"/>
      <c r="H111" s="2">
        <f t="shared" si="1"/>
        <v>182708.325</v>
      </c>
      <c r="I111" s="2">
        <f t="shared" si="2"/>
        <v>22</v>
      </c>
    </row>
    <row r="112" ht="14.25" customHeight="1">
      <c r="A112" s="11">
        <v>43979.0</v>
      </c>
      <c r="B112" s="12" t="s">
        <v>11</v>
      </c>
      <c r="C112" s="12">
        <v>31974.0</v>
      </c>
      <c r="D112" s="12">
        <v>3004213.5</v>
      </c>
      <c r="E112" s="13">
        <f>SUMIFS('Лист2'!C:C, 'Лист2'!A:A, A112, 'Лист2'!B:B, B112)</f>
        <v>20</v>
      </c>
      <c r="F112" s="13"/>
      <c r="G112" s="13"/>
      <c r="H112" s="2">
        <f t="shared" si="1"/>
        <v>150210.675</v>
      </c>
      <c r="I112" s="2">
        <f t="shared" si="2"/>
        <v>22</v>
      </c>
    </row>
    <row r="113" ht="14.25" customHeight="1">
      <c r="A113" s="14">
        <v>43967.0</v>
      </c>
      <c r="B113" s="15" t="s">
        <v>17</v>
      </c>
      <c r="C113" s="15">
        <v>321412.5</v>
      </c>
      <c r="D113" s="15">
        <v>3.2235864E7</v>
      </c>
      <c r="E113" s="13">
        <f>SUMIFS('Лист2'!C:C, 'Лист2'!A:A, A113, 'Лист2'!B:B, B113)</f>
        <v>129</v>
      </c>
      <c r="F113" s="13"/>
      <c r="G113" s="13"/>
      <c r="H113" s="2">
        <f t="shared" si="1"/>
        <v>249890.4186</v>
      </c>
      <c r="I113" s="2">
        <f t="shared" si="2"/>
        <v>20</v>
      </c>
    </row>
    <row r="114" ht="14.25" customHeight="1">
      <c r="A114" s="11">
        <v>43970.0</v>
      </c>
      <c r="B114" s="12" t="s">
        <v>17</v>
      </c>
      <c r="C114" s="12">
        <v>276568.5</v>
      </c>
      <c r="D114" s="12">
        <v>2.7093624E7</v>
      </c>
      <c r="E114" s="13">
        <f>SUMIFS('Лист2'!C:C, 'Лист2'!A:A, A114, 'Лист2'!B:B, B114)</f>
        <v>129</v>
      </c>
      <c r="F114" s="13"/>
      <c r="G114" s="13"/>
      <c r="H114" s="2">
        <f t="shared" si="1"/>
        <v>210028.093</v>
      </c>
      <c r="I114" s="2">
        <f t="shared" si="2"/>
        <v>21</v>
      </c>
    </row>
    <row r="115" ht="14.25" customHeight="1">
      <c r="A115" s="14">
        <v>43968.0</v>
      </c>
      <c r="B115" s="15" t="s">
        <v>17</v>
      </c>
      <c r="C115" s="15">
        <v>269029.5</v>
      </c>
      <c r="D115" s="15">
        <v>2.66599305E7</v>
      </c>
      <c r="E115" s="13">
        <f>SUMIFS('Лист2'!C:C, 'Лист2'!A:A, A115, 'Лист2'!B:B, B115)</f>
        <v>129</v>
      </c>
      <c r="F115" s="13"/>
      <c r="G115" s="13"/>
      <c r="H115" s="2">
        <f t="shared" si="1"/>
        <v>206666.1279</v>
      </c>
      <c r="I115" s="2">
        <f t="shared" si="2"/>
        <v>20</v>
      </c>
    </row>
    <row r="116" ht="14.25" customHeight="1">
      <c r="A116" s="11">
        <v>43960.0</v>
      </c>
      <c r="B116" s="12" t="s">
        <v>17</v>
      </c>
      <c r="C116" s="12">
        <v>285972.0</v>
      </c>
      <c r="D116" s="12">
        <v>2.9768199E7</v>
      </c>
      <c r="E116" s="13">
        <f>SUMIFS('Лист2'!C:C, 'Лист2'!A:A, A116, 'Лист2'!B:B, B116)</f>
        <v>129</v>
      </c>
      <c r="F116" s="13"/>
      <c r="G116" s="13"/>
      <c r="H116" s="2">
        <f t="shared" si="1"/>
        <v>230761.2326</v>
      </c>
      <c r="I116" s="2">
        <f t="shared" si="2"/>
        <v>19</v>
      </c>
    </row>
    <row r="117" ht="14.25" customHeight="1">
      <c r="A117" s="14">
        <v>43955.0</v>
      </c>
      <c r="B117" s="15" t="s">
        <v>17</v>
      </c>
      <c r="C117" s="15">
        <v>283942.5</v>
      </c>
      <c r="D117" s="15">
        <v>2.935794E7</v>
      </c>
      <c r="E117" s="13">
        <f>SUMIFS('Лист2'!C:C, 'Лист2'!A:A, A117, 'Лист2'!B:B, B117)</f>
        <v>129</v>
      </c>
      <c r="F117" s="13"/>
      <c r="G117" s="13"/>
      <c r="H117" s="2">
        <f t="shared" si="1"/>
        <v>227580.9302</v>
      </c>
      <c r="I117" s="2">
        <f t="shared" si="2"/>
        <v>19</v>
      </c>
    </row>
    <row r="118" ht="14.25" customHeight="1">
      <c r="A118" s="11">
        <v>43950.0</v>
      </c>
      <c r="B118" s="12" t="s">
        <v>17</v>
      </c>
      <c r="C118" s="12">
        <v>298059.0</v>
      </c>
      <c r="D118" s="12">
        <v>3.08692875E7</v>
      </c>
      <c r="E118" s="13">
        <f>SUMIFS('Лист2'!C:C, 'Лист2'!A:A, A118, 'Лист2'!B:B, B118)</f>
        <v>128</v>
      </c>
      <c r="F118" s="13"/>
      <c r="G118" s="13"/>
      <c r="H118" s="2">
        <f t="shared" si="1"/>
        <v>241166.3086</v>
      </c>
      <c r="I118" s="2">
        <f t="shared" si="2"/>
        <v>18</v>
      </c>
    </row>
    <row r="119" ht="14.25" customHeight="1">
      <c r="A119" s="14">
        <v>43953.0</v>
      </c>
      <c r="B119" s="15" t="s">
        <v>17</v>
      </c>
      <c r="C119" s="15">
        <v>232903.5</v>
      </c>
      <c r="D119" s="15">
        <v>2.43420165E7</v>
      </c>
      <c r="E119" s="13">
        <f>SUMIFS('Лист2'!C:C, 'Лист2'!A:A, A119, 'Лист2'!B:B, B119)</f>
        <v>129</v>
      </c>
      <c r="F119" s="13"/>
      <c r="G119" s="13"/>
      <c r="H119" s="2">
        <f t="shared" si="1"/>
        <v>188697.8023</v>
      </c>
      <c r="I119" s="2">
        <f t="shared" si="2"/>
        <v>18</v>
      </c>
    </row>
    <row r="120" ht="14.25" customHeight="1">
      <c r="A120" s="11">
        <v>43977.0</v>
      </c>
      <c r="B120" s="12" t="s">
        <v>17</v>
      </c>
      <c r="C120" s="12">
        <v>276966.0</v>
      </c>
      <c r="D120" s="12">
        <v>2.787261789885E7</v>
      </c>
      <c r="E120" s="13">
        <f>SUMIFS('Лист2'!C:C, 'Лист2'!A:A, A120, 'Лист2'!B:B, B120)</f>
        <v>129</v>
      </c>
      <c r="F120" s="13"/>
      <c r="G120" s="13"/>
      <c r="H120" s="2">
        <f t="shared" si="1"/>
        <v>216066.8054</v>
      </c>
      <c r="I120" s="2">
        <f t="shared" si="2"/>
        <v>22</v>
      </c>
    </row>
    <row r="121" ht="14.25" customHeight="1">
      <c r="A121" s="14">
        <v>43952.0</v>
      </c>
      <c r="B121" s="15" t="s">
        <v>17</v>
      </c>
      <c r="C121" s="15">
        <v>296149.5</v>
      </c>
      <c r="D121" s="15">
        <v>3.10533165E7</v>
      </c>
      <c r="E121" s="13">
        <f>SUMIFS('Лист2'!C:C, 'Лист2'!A:A, A121, 'Лист2'!B:B, B121)</f>
        <v>129</v>
      </c>
      <c r="F121" s="13"/>
      <c r="G121" s="13"/>
      <c r="H121" s="2">
        <f t="shared" si="1"/>
        <v>240723.3837</v>
      </c>
      <c r="I121" s="2">
        <f t="shared" si="2"/>
        <v>18</v>
      </c>
    </row>
    <row r="122" ht="14.25" customHeight="1">
      <c r="A122" s="11">
        <v>43963.0</v>
      </c>
      <c r="B122" s="12" t="s">
        <v>17</v>
      </c>
      <c r="C122" s="12">
        <v>281796.0</v>
      </c>
      <c r="D122" s="12">
        <v>2.904252E7</v>
      </c>
      <c r="E122" s="13">
        <f>SUMIFS('Лист2'!C:C, 'Лист2'!A:A, A122, 'Лист2'!B:B, B122)</f>
        <v>129</v>
      </c>
      <c r="F122" s="13"/>
      <c r="G122" s="13"/>
      <c r="H122" s="2">
        <f t="shared" si="1"/>
        <v>225135.814</v>
      </c>
      <c r="I122" s="2">
        <f t="shared" si="2"/>
        <v>20</v>
      </c>
    </row>
    <row r="123" ht="14.25" customHeight="1">
      <c r="A123" s="14">
        <v>43972.0</v>
      </c>
      <c r="B123" s="15" t="s">
        <v>17</v>
      </c>
      <c r="C123" s="15">
        <v>288936.0</v>
      </c>
      <c r="D123" s="15">
        <v>2.78529E7</v>
      </c>
      <c r="E123" s="13">
        <f>SUMIFS('Лист2'!C:C, 'Лист2'!A:A, A123, 'Лист2'!B:B, B123)</f>
        <v>129</v>
      </c>
      <c r="F123" s="13"/>
      <c r="G123" s="13"/>
      <c r="H123" s="2">
        <f t="shared" si="1"/>
        <v>215913.9535</v>
      </c>
      <c r="I123" s="2">
        <f t="shared" si="2"/>
        <v>21</v>
      </c>
    </row>
    <row r="124" ht="14.25" customHeight="1">
      <c r="A124" s="11">
        <v>43971.0</v>
      </c>
      <c r="B124" s="12" t="s">
        <v>17</v>
      </c>
      <c r="C124" s="12">
        <v>300151.5</v>
      </c>
      <c r="D124" s="12">
        <v>2.936877161745E7</v>
      </c>
      <c r="E124" s="13">
        <f>SUMIFS('Лист2'!C:C, 'Лист2'!A:A, A124, 'Лист2'!B:B, B124)</f>
        <v>129</v>
      </c>
      <c r="F124" s="13"/>
      <c r="G124" s="13"/>
      <c r="H124" s="2">
        <f t="shared" si="1"/>
        <v>227664.8963</v>
      </c>
      <c r="I124" s="2">
        <f t="shared" si="2"/>
        <v>21</v>
      </c>
    </row>
    <row r="125" ht="14.25" customHeight="1">
      <c r="A125" s="14">
        <v>43956.0</v>
      </c>
      <c r="B125" s="15" t="s">
        <v>17</v>
      </c>
      <c r="C125" s="15">
        <v>262734.0</v>
      </c>
      <c r="D125" s="15">
        <v>2.7278441145E7</v>
      </c>
      <c r="E125" s="13">
        <f>SUMIFS('Лист2'!C:C, 'Лист2'!A:A, A125, 'Лист2'!B:B, B125)</f>
        <v>129</v>
      </c>
      <c r="F125" s="13"/>
      <c r="G125" s="13"/>
      <c r="H125" s="2">
        <f t="shared" si="1"/>
        <v>211460.7841</v>
      </c>
      <c r="I125" s="2">
        <f t="shared" si="2"/>
        <v>19</v>
      </c>
    </row>
    <row r="126" ht="14.25" customHeight="1">
      <c r="A126" s="11">
        <v>43949.0</v>
      </c>
      <c r="B126" s="12" t="s">
        <v>17</v>
      </c>
      <c r="C126" s="12">
        <v>286002.0</v>
      </c>
      <c r="D126" s="12">
        <v>2.91590325E7</v>
      </c>
      <c r="E126" s="13">
        <f>SUMIFS('Лист2'!C:C, 'Лист2'!A:A, A126, 'Лист2'!B:B, B126)</f>
        <v>128</v>
      </c>
      <c r="F126" s="13"/>
      <c r="G126" s="13"/>
      <c r="H126" s="2">
        <f t="shared" si="1"/>
        <v>227804.9414</v>
      </c>
      <c r="I126" s="2">
        <f t="shared" si="2"/>
        <v>18</v>
      </c>
    </row>
    <row r="127" ht="14.25" customHeight="1">
      <c r="A127" s="14">
        <v>43964.0</v>
      </c>
      <c r="B127" s="15" t="s">
        <v>17</v>
      </c>
      <c r="C127" s="15">
        <v>258459.0</v>
      </c>
      <c r="D127" s="15">
        <v>2.64674535E7</v>
      </c>
      <c r="E127" s="13">
        <f>SUMIFS('Лист2'!C:C, 'Лист2'!A:A, A127, 'Лист2'!B:B, B127)</f>
        <v>129</v>
      </c>
      <c r="F127" s="13"/>
      <c r="G127" s="13"/>
      <c r="H127" s="2">
        <f t="shared" si="1"/>
        <v>205174.0581</v>
      </c>
      <c r="I127" s="2">
        <f t="shared" si="2"/>
        <v>20</v>
      </c>
    </row>
    <row r="128" ht="14.25" customHeight="1">
      <c r="A128" s="11">
        <v>43954.0</v>
      </c>
      <c r="B128" s="12" t="s">
        <v>17</v>
      </c>
      <c r="C128" s="12">
        <v>274083.0</v>
      </c>
      <c r="D128" s="12">
        <v>2.8427001E7</v>
      </c>
      <c r="E128" s="13">
        <f>SUMIFS('Лист2'!C:C, 'Лист2'!A:A, A128, 'Лист2'!B:B, B128)</f>
        <v>129</v>
      </c>
      <c r="F128" s="13"/>
      <c r="G128" s="13"/>
      <c r="H128" s="2">
        <f t="shared" si="1"/>
        <v>220364.3488</v>
      </c>
      <c r="I128" s="2">
        <f t="shared" si="2"/>
        <v>18</v>
      </c>
    </row>
    <row r="129" ht="14.25" customHeight="1">
      <c r="A129" s="14">
        <v>43957.0</v>
      </c>
      <c r="B129" s="15" t="s">
        <v>17</v>
      </c>
      <c r="C129" s="15">
        <v>277512.0</v>
      </c>
      <c r="D129" s="15">
        <v>2.87708101056E7</v>
      </c>
      <c r="E129" s="13">
        <f>SUMIFS('Лист2'!C:C, 'Лист2'!A:A, A129, 'Лист2'!B:B, B129)</f>
        <v>129</v>
      </c>
      <c r="F129" s="13"/>
      <c r="G129" s="13"/>
      <c r="H129" s="2">
        <f t="shared" si="1"/>
        <v>223029.5357</v>
      </c>
      <c r="I129" s="2">
        <f t="shared" si="2"/>
        <v>19</v>
      </c>
    </row>
    <row r="130" ht="14.25" customHeight="1">
      <c r="A130" s="11">
        <v>43974.0</v>
      </c>
      <c r="B130" s="12" t="s">
        <v>17</v>
      </c>
      <c r="C130" s="12">
        <v>356982.0</v>
      </c>
      <c r="D130" s="12">
        <v>3.510392671155E7</v>
      </c>
      <c r="E130" s="13">
        <f>SUMIFS('Лист2'!C:C, 'Лист2'!A:A, A130, 'Лист2'!B:B, B130)</f>
        <v>129</v>
      </c>
      <c r="F130" s="13"/>
      <c r="G130" s="13"/>
      <c r="H130" s="2">
        <f t="shared" si="1"/>
        <v>272123.4629</v>
      </c>
      <c r="I130" s="2">
        <f t="shared" si="2"/>
        <v>21</v>
      </c>
    </row>
    <row r="131" ht="14.25" customHeight="1">
      <c r="A131" s="14">
        <v>43976.0</v>
      </c>
      <c r="B131" s="15" t="s">
        <v>17</v>
      </c>
      <c r="C131" s="15">
        <v>266983.5</v>
      </c>
      <c r="D131" s="15">
        <v>2.71659135E7</v>
      </c>
      <c r="E131" s="13">
        <f>SUMIFS('Лист2'!C:C, 'Лист2'!A:A, A131, 'Лист2'!B:B, B131)</f>
        <v>129</v>
      </c>
      <c r="F131" s="13"/>
      <c r="G131" s="13"/>
      <c r="H131" s="2">
        <f t="shared" si="1"/>
        <v>210588.4767</v>
      </c>
      <c r="I131" s="2">
        <f t="shared" si="2"/>
        <v>22</v>
      </c>
    </row>
    <row r="132" ht="14.25" customHeight="1">
      <c r="A132" s="11">
        <v>43951.0</v>
      </c>
      <c r="B132" s="12" t="s">
        <v>17</v>
      </c>
      <c r="C132" s="12">
        <v>311131.5</v>
      </c>
      <c r="D132" s="12">
        <v>3.2418879E7</v>
      </c>
      <c r="E132" s="13">
        <f>SUMIFS('Лист2'!C:C, 'Лист2'!A:A, A132, 'Лист2'!B:B, B132)</f>
        <v>129</v>
      </c>
      <c r="F132" s="13"/>
      <c r="G132" s="13"/>
      <c r="H132" s="2">
        <f t="shared" si="1"/>
        <v>251309.1395</v>
      </c>
      <c r="I132" s="2">
        <f t="shared" si="2"/>
        <v>18</v>
      </c>
    </row>
    <row r="133" ht="14.25" customHeight="1">
      <c r="A133" s="14">
        <v>43961.0</v>
      </c>
      <c r="B133" s="15" t="s">
        <v>17</v>
      </c>
      <c r="C133" s="15">
        <v>287206.5</v>
      </c>
      <c r="D133" s="15">
        <v>2.953617610605E7</v>
      </c>
      <c r="E133" s="13">
        <f>SUMIFS('Лист2'!C:C, 'Лист2'!A:A, A133, 'Лист2'!B:B, B133)</f>
        <v>129</v>
      </c>
      <c r="F133" s="13"/>
      <c r="G133" s="13"/>
      <c r="H133" s="2">
        <f t="shared" si="1"/>
        <v>228962.6055</v>
      </c>
      <c r="I133" s="2">
        <f t="shared" si="2"/>
        <v>19</v>
      </c>
    </row>
    <row r="134" ht="14.25" customHeight="1">
      <c r="A134" s="11">
        <v>43959.0</v>
      </c>
      <c r="B134" s="12" t="s">
        <v>17</v>
      </c>
      <c r="C134" s="12">
        <v>370092.0</v>
      </c>
      <c r="D134" s="12">
        <v>3.80915565E7</v>
      </c>
      <c r="E134" s="13">
        <f>SUMIFS('Лист2'!C:C, 'Лист2'!A:A, A134, 'Лист2'!B:B, B134)</f>
        <v>129</v>
      </c>
      <c r="F134" s="13"/>
      <c r="G134" s="13"/>
      <c r="H134" s="2">
        <f t="shared" si="1"/>
        <v>295283.3837</v>
      </c>
      <c r="I134" s="2">
        <f t="shared" si="2"/>
        <v>19</v>
      </c>
    </row>
    <row r="135" ht="14.25" customHeight="1">
      <c r="A135" s="14">
        <v>43958.0</v>
      </c>
      <c r="B135" s="15" t="s">
        <v>17</v>
      </c>
      <c r="C135" s="15">
        <v>247813.5</v>
      </c>
      <c r="D135" s="15">
        <v>2.5325271E7</v>
      </c>
      <c r="E135" s="13">
        <f>SUMIFS('Лист2'!C:C, 'Лист2'!A:A, A135, 'Лист2'!B:B, B135)</f>
        <v>129</v>
      </c>
      <c r="F135" s="13"/>
      <c r="G135" s="13"/>
      <c r="H135" s="2">
        <f t="shared" si="1"/>
        <v>196319.9302</v>
      </c>
      <c r="I135" s="2">
        <f t="shared" si="2"/>
        <v>19</v>
      </c>
    </row>
    <row r="136" ht="14.25" customHeight="1">
      <c r="A136" s="11">
        <v>43975.0</v>
      </c>
      <c r="B136" s="12" t="s">
        <v>17</v>
      </c>
      <c r="C136" s="12">
        <v>287740.5</v>
      </c>
      <c r="D136" s="12">
        <v>2.8188534E7</v>
      </c>
      <c r="E136" s="13">
        <f>SUMIFS('Лист2'!C:C, 'Лист2'!A:A, A136, 'Лист2'!B:B, B136)</f>
        <v>129</v>
      </c>
      <c r="F136" s="13"/>
      <c r="G136" s="13"/>
      <c r="H136" s="2">
        <f t="shared" si="1"/>
        <v>218515.7674</v>
      </c>
      <c r="I136" s="2">
        <f t="shared" si="2"/>
        <v>21</v>
      </c>
    </row>
    <row r="137" ht="14.25" customHeight="1">
      <c r="A137" s="14">
        <v>43967.0</v>
      </c>
      <c r="B137" s="15" t="s">
        <v>16</v>
      </c>
      <c r="C137" s="15">
        <v>408810.0</v>
      </c>
      <c r="D137" s="15">
        <v>4.2323631E7</v>
      </c>
      <c r="E137" s="13">
        <f>SUMIFS('Лист2'!C:C, 'Лист2'!A:A, A137, 'Лист2'!B:B, B137)</f>
        <v>125</v>
      </c>
      <c r="F137" s="13"/>
      <c r="G137" s="13"/>
      <c r="H137" s="2">
        <f t="shared" si="1"/>
        <v>338589.048</v>
      </c>
      <c r="I137" s="2">
        <f t="shared" si="2"/>
        <v>20</v>
      </c>
    </row>
    <row r="138" ht="14.25" customHeight="1">
      <c r="A138" s="11">
        <v>43970.0</v>
      </c>
      <c r="B138" s="12" t="s">
        <v>16</v>
      </c>
      <c r="C138" s="12">
        <v>362536.5</v>
      </c>
      <c r="D138" s="12">
        <v>3.7023243E7</v>
      </c>
      <c r="E138" s="13">
        <f>SUMIFS('Лист2'!C:C, 'Лист2'!A:A, A138, 'Лист2'!B:B, B138)</f>
        <v>125</v>
      </c>
      <c r="F138" s="13"/>
      <c r="G138" s="13"/>
      <c r="H138" s="2">
        <f t="shared" si="1"/>
        <v>296185.944</v>
      </c>
      <c r="I138" s="2">
        <f t="shared" si="2"/>
        <v>21</v>
      </c>
    </row>
    <row r="139" ht="14.25" customHeight="1">
      <c r="A139" s="14">
        <v>43968.0</v>
      </c>
      <c r="B139" s="15" t="s">
        <v>16</v>
      </c>
      <c r="C139" s="15">
        <v>357072.0</v>
      </c>
      <c r="D139" s="15">
        <v>3.6834567E7</v>
      </c>
      <c r="E139" s="13">
        <f>SUMIFS('Лист2'!C:C, 'Лист2'!A:A, A139, 'Лист2'!B:B, B139)</f>
        <v>125</v>
      </c>
      <c r="F139" s="13"/>
      <c r="G139" s="13"/>
      <c r="H139" s="2">
        <f t="shared" si="1"/>
        <v>294676.536</v>
      </c>
      <c r="I139" s="2">
        <f t="shared" si="2"/>
        <v>20</v>
      </c>
    </row>
    <row r="140" ht="14.25" customHeight="1">
      <c r="A140" s="11">
        <v>43960.0</v>
      </c>
      <c r="B140" s="12" t="s">
        <v>16</v>
      </c>
      <c r="C140" s="12">
        <v>359214.0</v>
      </c>
      <c r="D140" s="12">
        <v>3.8693427E7</v>
      </c>
      <c r="E140" s="13">
        <f>SUMIFS('Лист2'!C:C, 'Лист2'!A:A, A140, 'Лист2'!B:B, B140)</f>
        <v>125</v>
      </c>
      <c r="F140" s="13"/>
      <c r="G140" s="13"/>
      <c r="H140" s="2">
        <f t="shared" si="1"/>
        <v>309547.416</v>
      </c>
      <c r="I140" s="2">
        <f t="shared" si="2"/>
        <v>19</v>
      </c>
    </row>
    <row r="141" ht="14.25" customHeight="1">
      <c r="A141" s="14">
        <v>43955.0</v>
      </c>
      <c r="B141" s="15" t="s">
        <v>16</v>
      </c>
      <c r="C141" s="15">
        <v>360255.0</v>
      </c>
      <c r="D141" s="15">
        <v>3.8406954E7</v>
      </c>
      <c r="E141" s="13">
        <f>SUMIFS('Лист2'!C:C, 'Лист2'!A:A, A141, 'Лист2'!B:B, B141)</f>
        <v>125</v>
      </c>
      <c r="F141" s="13"/>
      <c r="G141" s="13"/>
      <c r="H141" s="2">
        <f t="shared" si="1"/>
        <v>307255.632</v>
      </c>
      <c r="I141" s="2">
        <f t="shared" si="2"/>
        <v>19</v>
      </c>
    </row>
    <row r="142" ht="14.25" customHeight="1">
      <c r="A142" s="11">
        <v>43950.0</v>
      </c>
      <c r="B142" s="12" t="s">
        <v>16</v>
      </c>
      <c r="C142" s="12">
        <v>387220.5</v>
      </c>
      <c r="D142" s="12">
        <v>4.1559384E7</v>
      </c>
      <c r="E142" s="13">
        <f>SUMIFS('Лист2'!C:C, 'Лист2'!A:A, A142, 'Лист2'!B:B, B142)</f>
        <v>125</v>
      </c>
      <c r="F142" s="13"/>
      <c r="G142" s="13"/>
      <c r="H142" s="2">
        <f t="shared" si="1"/>
        <v>332475.072</v>
      </c>
      <c r="I142" s="2">
        <f t="shared" si="2"/>
        <v>18</v>
      </c>
    </row>
    <row r="143" ht="14.25" customHeight="1">
      <c r="A143" s="14">
        <v>43953.0</v>
      </c>
      <c r="B143" s="15" t="s">
        <v>16</v>
      </c>
      <c r="C143" s="15">
        <v>296580.0</v>
      </c>
      <c r="D143" s="15">
        <v>3.1843737E7</v>
      </c>
      <c r="E143" s="13">
        <f>SUMIFS('Лист2'!C:C, 'Лист2'!A:A, A143, 'Лист2'!B:B, B143)</f>
        <v>125</v>
      </c>
      <c r="F143" s="13"/>
      <c r="G143" s="13"/>
      <c r="H143" s="2">
        <f t="shared" si="1"/>
        <v>254749.896</v>
      </c>
      <c r="I143" s="2">
        <f t="shared" si="2"/>
        <v>18</v>
      </c>
    </row>
    <row r="144" ht="14.25" customHeight="1">
      <c r="A144" s="11">
        <v>43977.0</v>
      </c>
      <c r="B144" s="12" t="s">
        <v>16</v>
      </c>
      <c r="C144" s="12">
        <v>369861.0</v>
      </c>
      <c r="D144" s="12">
        <v>3.83659605E7</v>
      </c>
      <c r="E144" s="13">
        <f>SUMIFS('Лист2'!C:C, 'Лист2'!A:A, A144, 'Лист2'!B:B, B144)</f>
        <v>124</v>
      </c>
      <c r="F144" s="13"/>
      <c r="G144" s="13"/>
      <c r="H144" s="2">
        <f t="shared" si="1"/>
        <v>309402.9073</v>
      </c>
      <c r="I144" s="2">
        <f t="shared" si="2"/>
        <v>22</v>
      </c>
    </row>
    <row r="145" ht="14.25" customHeight="1">
      <c r="A145" s="14">
        <v>43952.0</v>
      </c>
      <c r="B145" s="15" t="s">
        <v>16</v>
      </c>
      <c r="C145" s="15">
        <v>372504.0</v>
      </c>
      <c r="D145" s="15">
        <v>4.00771935E7</v>
      </c>
      <c r="E145" s="13">
        <f>SUMIFS('Лист2'!C:C, 'Лист2'!A:A, A145, 'Лист2'!B:B, B145)</f>
        <v>125</v>
      </c>
      <c r="F145" s="13"/>
      <c r="G145" s="13"/>
      <c r="H145" s="2">
        <f t="shared" si="1"/>
        <v>320617.548</v>
      </c>
      <c r="I145" s="2">
        <f t="shared" si="2"/>
        <v>18</v>
      </c>
    </row>
    <row r="146" ht="14.25" customHeight="1">
      <c r="A146" s="11">
        <v>43963.0</v>
      </c>
      <c r="B146" s="12" t="s">
        <v>16</v>
      </c>
      <c r="C146" s="12">
        <v>373392.0</v>
      </c>
      <c r="D146" s="12">
        <v>3.9578577E7</v>
      </c>
      <c r="E146" s="13">
        <f>SUMIFS('Лист2'!C:C, 'Лист2'!A:A, A146, 'Лист2'!B:B, B146)</f>
        <v>125</v>
      </c>
      <c r="F146" s="13"/>
      <c r="G146" s="13"/>
      <c r="H146" s="2">
        <f t="shared" si="1"/>
        <v>316628.616</v>
      </c>
      <c r="I146" s="2">
        <f t="shared" si="2"/>
        <v>20</v>
      </c>
    </row>
    <row r="147" ht="14.25" customHeight="1">
      <c r="A147" s="14">
        <v>43972.0</v>
      </c>
      <c r="B147" s="15" t="s">
        <v>16</v>
      </c>
      <c r="C147" s="15">
        <v>378043.5</v>
      </c>
      <c r="D147" s="15">
        <v>3.790215657E7</v>
      </c>
      <c r="E147" s="13">
        <f>SUMIFS('Лист2'!C:C, 'Лист2'!A:A, A147, 'Лист2'!B:B, B147)</f>
        <v>125</v>
      </c>
      <c r="F147" s="13"/>
      <c r="G147" s="13"/>
      <c r="H147" s="2">
        <f t="shared" si="1"/>
        <v>303217.2526</v>
      </c>
      <c r="I147" s="2">
        <f t="shared" si="2"/>
        <v>21</v>
      </c>
    </row>
    <row r="148" ht="14.25" customHeight="1">
      <c r="A148" s="11">
        <v>43971.0</v>
      </c>
      <c r="B148" s="12" t="s">
        <v>16</v>
      </c>
      <c r="C148" s="12">
        <v>388668.0</v>
      </c>
      <c r="D148" s="12">
        <v>3.9639309E7</v>
      </c>
      <c r="E148" s="13">
        <f>SUMIFS('Лист2'!C:C, 'Лист2'!A:A, A148, 'Лист2'!B:B, B148)</f>
        <v>125</v>
      </c>
      <c r="F148" s="13"/>
      <c r="G148" s="13"/>
      <c r="H148" s="2">
        <f t="shared" si="1"/>
        <v>317114.472</v>
      </c>
      <c r="I148" s="2">
        <f t="shared" si="2"/>
        <v>21</v>
      </c>
    </row>
    <row r="149" ht="14.25" customHeight="1">
      <c r="A149" s="14">
        <v>43956.0</v>
      </c>
      <c r="B149" s="15" t="s">
        <v>16</v>
      </c>
      <c r="C149" s="15">
        <v>333792.0</v>
      </c>
      <c r="D149" s="15">
        <v>3.5671734E7</v>
      </c>
      <c r="E149" s="13">
        <f>SUMIFS('Лист2'!C:C, 'Лист2'!A:A, A149, 'Лист2'!B:B, B149)</f>
        <v>125</v>
      </c>
      <c r="F149" s="13"/>
      <c r="G149" s="13"/>
      <c r="H149" s="2">
        <f t="shared" si="1"/>
        <v>285373.872</v>
      </c>
      <c r="I149" s="2">
        <f t="shared" si="2"/>
        <v>19</v>
      </c>
    </row>
    <row r="150" ht="14.25" customHeight="1">
      <c r="A150" s="11">
        <v>43949.0</v>
      </c>
      <c r="B150" s="12" t="s">
        <v>16</v>
      </c>
      <c r="C150" s="12">
        <v>376060.5</v>
      </c>
      <c r="D150" s="12">
        <v>3.99180285E7</v>
      </c>
      <c r="E150" s="13">
        <f>SUMIFS('Лист2'!C:C, 'Лист2'!A:A, A150, 'Лист2'!B:B, B150)</f>
        <v>125</v>
      </c>
      <c r="F150" s="13"/>
      <c r="G150" s="13"/>
      <c r="H150" s="2">
        <f t="shared" si="1"/>
        <v>319344.228</v>
      </c>
      <c r="I150" s="2">
        <f t="shared" si="2"/>
        <v>18</v>
      </c>
    </row>
    <row r="151" ht="14.25" customHeight="1">
      <c r="A151" s="14">
        <v>43964.0</v>
      </c>
      <c r="B151" s="15" t="s">
        <v>16</v>
      </c>
      <c r="C151" s="15">
        <v>350068.5</v>
      </c>
      <c r="D151" s="15">
        <v>3.71971155E7</v>
      </c>
      <c r="E151" s="13">
        <f>SUMIFS('Лист2'!C:C, 'Лист2'!A:A, A151, 'Лист2'!B:B, B151)</f>
        <v>125</v>
      </c>
      <c r="F151" s="13"/>
      <c r="G151" s="13"/>
      <c r="H151" s="2">
        <f t="shared" si="1"/>
        <v>297576.924</v>
      </c>
      <c r="I151" s="2">
        <f t="shared" si="2"/>
        <v>20</v>
      </c>
    </row>
    <row r="152" ht="14.25" customHeight="1">
      <c r="A152" s="11">
        <v>43982.0</v>
      </c>
      <c r="B152" s="12" t="s">
        <v>17</v>
      </c>
      <c r="C152" s="12">
        <v>294337.5</v>
      </c>
      <c r="D152" s="12">
        <v>2.9327766E7</v>
      </c>
      <c r="E152" s="13">
        <f>SUMIFS('Лист2'!C:C, 'Лист2'!A:A, A152, 'Лист2'!B:B, B152)</f>
        <v>129</v>
      </c>
      <c r="F152" s="13"/>
      <c r="G152" s="13"/>
      <c r="H152" s="2">
        <f t="shared" si="1"/>
        <v>227347.0233</v>
      </c>
      <c r="I152" s="2">
        <f t="shared" si="2"/>
        <v>22</v>
      </c>
    </row>
    <row r="153" ht="14.25" customHeight="1">
      <c r="A153" s="14">
        <v>43954.0</v>
      </c>
      <c r="B153" s="15" t="s">
        <v>16</v>
      </c>
      <c r="C153" s="15">
        <v>342666.0</v>
      </c>
      <c r="D153" s="15">
        <v>3.66319995E7</v>
      </c>
      <c r="E153" s="13">
        <f>SUMIFS('Лист2'!C:C, 'Лист2'!A:A, A153, 'Лист2'!B:B, B153)</f>
        <v>125</v>
      </c>
      <c r="F153" s="13"/>
      <c r="G153" s="13"/>
      <c r="H153" s="2">
        <f t="shared" si="1"/>
        <v>293055.996</v>
      </c>
      <c r="I153" s="2">
        <f t="shared" si="2"/>
        <v>18</v>
      </c>
    </row>
    <row r="154" ht="14.25" customHeight="1">
      <c r="A154" s="11">
        <v>43981.0</v>
      </c>
      <c r="B154" s="12" t="s">
        <v>17</v>
      </c>
      <c r="C154" s="12">
        <v>364882.5</v>
      </c>
      <c r="D154" s="12">
        <v>3.57244935E7</v>
      </c>
      <c r="E154" s="13">
        <f>SUMIFS('Лист2'!C:C, 'Лист2'!A:A, A154, 'Лист2'!B:B, B154)</f>
        <v>129</v>
      </c>
      <c r="F154" s="13"/>
      <c r="G154" s="13"/>
      <c r="H154" s="2">
        <f t="shared" si="1"/>
        <v>276934.0581</v>
      </c>
      <c r="I154" s="2">
        <f t="shared" si="2"/>
        <v>22</v>
      </c>
    </row>
    <row r="155" ht="14.25" customHeight="1">
      <c r="A155" s="14">
        <v>43957.0</v>
      </c>
      <c r="B155" s="15" t="s">
        <v>16</v>
      </c>
      <c r="C155" s="15">
        <v>355278.0</v>
      </c>
      <c r="D155" s="15">
        <v>3.8092344E7</v>
      </c>
      <c r="E155" s="13">
        <f>SUMIFS('Лист2'!C:C, 'Лист2'!A:A, A155, 'Лист2'!B:B, B155)</f>
        <v>125</v>
      </c>
      <c r="F155" s="13"/>
      <c r="G155" s="13"/>
      <c r="H155" s="2">
        <f t="shared" si="1"/>
        <v>304738.752</v>
      </c>
      <c r="I155" s="2">
        <f t="shared" si="2"/>
        <v>19</v>
      </c>
    </row>
    <row r="156" ht="14.25" customHeight="1">
      <c r="A156" s="11">
        <v>43974.0</v>
      </c>
      <c r="B156" s="12" t="s">
        <v>16</v>
      </c>
      <c r="C156" s="12">
        <v>456885.0</v>
      </c>
      <c r="D156" s="12">
        <v>4.640808E7</v>
      </c>
      <c r="E156" s="13">
        <f>SUMIFS('Лист2'!C:C, 'Лист2'!A:A, A156, 'Лист2'!B:B, B156)</f>
        <v>125</v>
      </c>
      <c r="F156" s="13"/>
      <c r="G156" s="13"/>
      <c r="H156" s="2">
        <f t="shared" si="1"/>
        <v>371264.64</v>
      </c>
      <c r="I156" s="2">
        <f t="shared" si="2"/>
        <v>21</v>
      </c>
    </row>
    <row r="157" ht="14.25" customHeight="1">
      <c r="A157" s="14">
        <v>43979.0</v>
      </c>
      <c r="B157" s="15" t="s">
        <v>17</v>
      </c>
      <c r="C157" s="15">
        <v>278491.5</v>
      </c>
      <c r="D157" s="15">
        <v>2.815100475E7</v>
      </c>
      <c r="E157" s="13">
        <f>SUMIFS('Лист2'!C:C, 'Лист2'!A:A, A157, 'Лист2'!B:B, B157)</f>
        <v>129</v>
      </c>
      <c r="F157" s="13"/>
      <c r="G157" s="13"/>
      <c r="H157" s="2">
        <f t="shared" si="1"/>
        <v>218224.843</v>
      </c>
      <c r="I157" s="2">
        <f t="shared" si="2"/>
        <v>22</v>
      </c>
    </row>
    <row r="158" ht="14.25" customHeight="1">
      <c r="A158" s="11">
        <v>43976.0</v>
      </c>
      <c r="B158" s="12" t="s">
        <v>16</v>
      </c>
      <c r="C158" s="12">
        <v>349734.0</v>
      </c>
      <c r="D158" s="12">
        <v>3.6883428E7</v>
      </c>
      <c r="E158" s="13">
        <f>SUMIFS('Лист2'!C:C, 'Лист2'!A:A, A158, 'Лист2'!B:B, B158)</f>
        <v>124</v>
      </c>
      <c r="F158" s="13"/>
      <c r="G158" s="13"/>
      <c r="H158" s="2">
        <f t="shared" si="1"/>
        <v>297447</v>
      </c>
      <c r="I158" s="2">
        <f t="shared" si="2"/>
        <v>22</v>
      </c>
    </row>
    <row r="159" ht="14.25" customHeight="1">
      <c r="A159" s="14">
        <v>43951.0</v>
      </c>
      <c r="B159" s="15" t="s">
        <v>16</v>
      </c>
      <c r="C159" s="15">
        <v>401580.0</v>
      </c>
      <c r="D159" s="15">
        <v>4.30287345E7</v>
      </c>
      <c r="E159" s="13">
        <f>SUMIFS('Лист2'!C:C, 'Лист2'!A:A, A159, 'Лист2'!B:B, B159)</f>
        <v>125</v>
      </c>
      <c r="F159" s="13"/>
      <c r="G159" s="13"/>
      <c r="H159" s="2">
        <f t="shared" si="1"/>
        <v>344229.876</v>
      </c>
      <c r="I159" s="2">
        <f t="shared" si="2"/>
        <v>18</v>
      </c>
    </row>
    <row r="160" ht="14.25" customHeight="1">
      <c r="A160" s="11">
        <v>43961.0</v>
      </c>
      <c r="B160" s="12" t="s">
        <v>16</v>
      </c>
      <c r="C160" s="12">
        <v>368649.0</v>
      </c>
      <c r="D160" s="12">
        <v>3.9010875E7</v>
      </c>
      <c r="E160" s="13">
        <f>SUMIFS('Лист2'!C:C, 'Лист2'!A:A, A160, 'Лист2'!B:B, B160)</f>
        <v>125</v>
      </c>
      <c r="F160" s="13"/>
      <c r="G160" s="13"/>
      <c r="H160" s="2">
        <f t="shared" si="1"/>
        <v>312087</v>
      </c>
      <c r="I160" s="2">
        <f t="shared" si="2"/>
        <v>19</v>
      </c>
    </row>
    <row r="161" ht="14.25" customHeight="1">
      <c r="A161" s="14">
        <v>43959.0</v>
      </c>
      <c r="B161" s="15" t="s">
        <v>16</v>
      </c>
      <c r="C161" s="15">
        <v>463530.0</v>
      </c>
      <c r="D161" s="15">
        <v>4.91231805E7</v>
      </c>
      <c r="E161" s="13">
        <f>SUMIFS('Лист2'!C:C, 'Лист2'!A:A, A161, 'Лист2'!B:B, B161)</f>
        <v>125</v>
      </c>
      <c r="F161" s="13"/>
      <c r="G161" s="13"/>
      <c r="H161" s="2">
        <f t="shared" si="1"/>
        <v>392985.444</v>
      </c>
      <c r="I161" s="2">
        <f t="shared" si="2"/>
        <v>19</v>
      </c>
    </row>
    <row r="162" ht="14.25" customHeight="1">
      <c r="A162" s="11">
        <v>43958.0</v>
      </c>
      <c r="B162" s="12" t="s">
        <v>16</v>
      </c>
      <c r="C162" s="12">
        <v>319110.0</v>
      </c>
      <c r="D162" s="12">
        <v>3.3763989E7</v>
      </c>
      <c r="E162" s="13">
        <f>SUMIFS('Лист2'!C:C, 'Лист2'!A:A, A162, 'Лист2'!B:B, B162)</f>
        <v>125</v>
      </c>
      <c r="F162" s="13"/>
      <c r="G162" s="13"/>
      <c r="H162" s="2">
        <f t="shared" si="1"/>
        <v>270111.912</v>
      </c>
      <c r="I162" s="2">
        <f t="shared" si="2"/>
        <v>19</v>
      </c>
    </row>
    <row r="163" ht="14.25" customHeight="1">
      <c r="A163" s="14">
        <v>43975.0</v>
      </c>
      <c r="B163" s="15" t="s">
        <v>16</v>
      </c>
      <c r="C163" s="15">
        <v>375744.0</v>
      </c>
      <c r="D163" s="15">
        <v>3.81913815E7</v>
      </c>
      <c r="E163" s="13">
        <f>SUMIFS('Лист2'!C:C, 'Лист2'!A:A, A163, 'Лист2'!B:B, B163)</f>
        <v>125</v>
      </c>
      <c r="F163" s="13"/>
      <c r="G163" s="13"/>
      <c r="H163" s="2">
        <f t="shared" si="1"/>
        <v>305531.052</v>
      </c>
      <c r="I163" s="2">
        <f t="shared" si="2"/>
        <v>21</v>
      </c>
    </row>
    <row r="164" ht="14.25" customHeight="1">
      <c r="A164" s="11">
        <v>43967.0</v>
      </c>
      <c r="B164" s="12" t="s">
        <v>4</v>
      </c>
      <c r="C164" s="12">
        <v>81331.5</v>
      </c>
      <c r="D164" s="12">
        <v>6652179.0</v>
      </c>
      <c r="E164" s="13">
        <f>SUMIFS('Лист2'!C:C, 'Лист2'!A:A, A164, 'Лист2'!B:B, B164)</f>
        <v>36</v>
      </c>
      <c r="F164" s="13"/>
      <c r="G164" s="13"/>
      <c r="H164" s="2">
        <f t="shared" si="1"/>
        <v>184782.75</v>
      </c>
      <c r="I164" s="2">
        <f t="shared" si="2"/>
        <v>20</v>
      </c>
    </row>
    <row r="165" ht="14.25" customHeight="1">
      <c r="A165" s="14">
        <v>43970.0</v>
      </c>
      <c r="B165" s="15" t="s">
        <v>4</v>
      </c>
      <c r="C165" s="15">
        <v>75796.5</v>
      </c>
      <c r="D165" s="15">
        <v>6173463.0</v>
      </c>
      <c r="E165" s="13">
        <f>SUMIFS('Лист2'!C:C, 'Лист2'!A:A, A165, 'Лист2'!B:B, B165)</f>
        <v>36</v>
      </c>
      <c r="F165" s="13"/>
      <c r="G165" s="13"/>
      <c r="H165" s="2">
        <f t="shared" si="1"/>
        <v>171485.0833</v>
      </c>
      <c r="I165" s="2">
        <f t="shared" si="2"/>
        <v>21</v>
      </c>
    </row>
    <row r="166" ht="14.25" customHeight="1">
      <c r="A166" s="11">
        <v>43968.0</v>
      </c>
      <c r="B166" s="12" t="s">
        <v>4</v>
      </c>
      <c r="C166" s="12">
        <v>72861.0</v>
      </c>
      <c r="D166" s="12">
        <v>5952802.5</v>
      </c>
      <c r="E166" s="13">
        <f>SUMIFS('Лист2'!C:C, 'Лист2'!A:A, A166, 'Лист2'!B:B, B166)</f>
        <v>36</v>
      </c>
      <c r="F166" s="13"/>
      <c r="G166" s="13"/>
      <c r="H166" s="2">
        <f t="shared" si="1"/>
        <v>165355.625</v>
      </c>
      <c r="I166" s="2">
        <f t="shared" si="2"/>
        <v>20</v>
      </c>
    </row>
    <row r="167" ht="14.25" customHeight="1">
      <c r="A167" s="14">
        <v>43960.0</v>
      </c>
      <c r="B167" s="15" t="s">
        <v>4</v>
      </c>
      <c r="C167" s="15">
        <v>83373.0</v>
      </c>
      <c r="D167" s="15">
        <v>7253427.0</v>
      </c>
      <c r="E167" s="13">
        <f>SUMIFS('Лист2'!C:C, 'Лист2'!A:A, A167, 'Лист2'!B:B, B167)</f>
        <v>36</v>
      </c>
      <c r="F167" s="13"/>
      <c r="G167" s="13"/>
      <c r="H167" s="2">
        <f t="shared" si="1"/>
        <v>201484.0833</v>
      </c>
      <c r="I167" s="2">
        <f t="shared" si="2"/>
        <v>19</v>
      </c>
    </row>
    <row r="168" ht="14.25" customHeight="1">
      <c r="A168" s="11">
        <v>43955.0</v>
      </c>
      <c r="B168" s="12" t="s">
        <v>4</v>
      </c>
      <c r="C168" s="12">
        <v>64108.5</v>
      </c>
      <c r="D168" s="12">
        <v>5561452.5</v>
      </c>
      <c r="E168" s="13">
        <f>SUMIFS('Лист2'!C:C, 'Лист2'!A:A, A168, 'Лист2'!B:B, B168)</f>
        <v>36</v>
      </c>
      <c r="F168" s="13"/>
      <c r="G168" s="13"/>
      <c r="H168" s="2">
        <f t="shared" si="1"/>
        <v>154484.7917</v>
      </c>
      <c r="I168" s="2">
        <f t="shared" si="2"/>
        <v>19</v>
      </c>
    </row>
    <row r="169" ht="14.25" customHeight="1">
      <c r="A169" s="14">
        <v>43950.0</v>
      </c>
      <c r="B169" s="15" t="s">
        <v>4</v>
      </c>
      <c r="C169" s="15">
        <v>74707.5</v>
      </c>
      <c r="D169" s="15">
        <v>6454458.0</v>
      </c>
      <c r="E169" s="13">
        <f>SUMIFS('Лист2'!C:C, 'Лист2'!A:A, A169, 'Лист2'!B:B, B169)</f>
        <v>36</v>
      </c>
      <c r="F169" s="13"/>
      <c r="G169" s="13"/>
      <c r="H169" s="2">
        <f t="shared" si="1"/>
        <v>179290.5</v>
      </c>
      <c r="I169" s="2">
        <f t="shared" si="2"/>
        <v>18</v>
      </c>
    </row>
    <row r="170" ht="14.25" customHeight="1">
      <c r="A170" s="11">
        <v>43953.0</v>
      </c>
      <c r="B170" s="12" t="s">
        <v>4</v>
      </c>
      <c r="C170" s="12">
        <v>46216.5</v>
      </c>
      <c r="D170" s="12">
        <v>4118251.5</v>
      </c>
      <c r="E170" s="13">
        <f>SUMIFS('Лист2'!C:C, 'Лист2'!A:A, A170, 'Лист2'!B:B, B170)</f>
        <v>36</v>
      </c>
      <c r="F170" s="13"/>
      <c r="G170" s="13"/>
      <c r="H170" s="2">
        <f t="shared" si="1"/>
        <v>114395.875</v>
      </c>
      <c r="I170" s="2">
        <f t="shared" si="2"/>
        <v>18</v>
      </c>
    </row>
    <row r="171" ht="14.25" customHeight="1">
      <c r="A171" s="14">
        <v>43977.0</v>
      </c>
      <c r="B171" s="15" t="s">
        <v>4</v>
      </c>
      <c r="C171" s="15">
        <v>67726.5</v>
      </c>
      <c r="D171" s="15">
        <v>5864989.5</v>
      </c>
      <c r="E171" s="13">
        <f>SUMIFS('Лист2'!C:C, 'Лист2'!A:A, A171, 'Лист2'!B:B, B171)</f>
        <v>36</v>
      </c>
      <c r="F171" s="13"/>
      <c r="G171" s="13"/>
      <c r="H171" s="2">
        <f t="shared" si="1"/>
        <v>162916.375</v>
      </c>
      <c r="I171" s="2">
        <f t="shared" si="2"/>
        <v>22</v>
      </c>
    </row>
    <row r="172" ht="14.25" customHeight="1">
      <c r="A172" s="11">
        <v>43952.0</v>
      </c>
      <c r="B172" s="12" t="s">
        <v>4</v>
      </c>
      <c r="C172" s="12">
        <v>82228.5</v>
      </c>
      <c r="D172" s="12">
        <v>7032225.0</v>
      </c>
      <c r="E172" s="13">
        <f>SUMIFS('Лист2'!C:C, 'Лист2'!A:A, A172, 'Лист2'!B:B, B172)</f>
        <v>36</v>
      </c>
      <c r="F172" s="13"/>
      <c r="G172" s="13"/>
      <c r="H172" s="2">
        <f t="shared" si="1"/>
        <v>195339.5833</v>
      </c>
      <c r="I172" s="2">
        <f t="shared" si="2"/>
        <v>18</v>
      </c>
    </row>
    <row r="173" ht="14.25" customHeight="1">
      <c r="A173" s="14">
        <v>43963.0</v>
      </c>
      <c r="B173" s="15" t="s">
        <v>4</v>
      </c>
      <c r="C173" s="15">
        <v>64390.5</v>
      </c>
      <c r="D173" s="15">
        <v>5523145.5</v>
      </c>
      <c r="E173" s="13">
        <f>SUMIFS('Лист2'!C:C, 'Лист2'!A:A, A173, 'Лист2'!B:B, B173)</f>
        <v>36</v>
      </c>
      <c r="F173" s="13"/>
      <c r="G173" s="13"/>
      <c r="H173" s="2">
        <f t="shared" si="1"/>
        <v>153420.7083</v>
      </c>
      <c r="I173" s="2">
        <f t="shared" si="2"/>
        <v>20</v>
      </c>
    </row>
    <row r="174" ht="14.25" customHeight="1">
      <c r="A174" s="11">
        <v>43972.0</v>
      </c>
      <c r="B174" s="12" t="s">
        <v>4</v>
      </c>
      <c r="C174" s="12">
        <v>73126.5</v>
      </c>
      <c r="D174" s="12">
        <v>5864085.0</v>
      </c>
      <c r="E174" s="13">
        <f>SUMIFS('Лист2'!C:C, 'Лист2'!A:A, A174, 'Лист2'!B:B, B174)</f>
        <v>36</v>
      </c>
      <c r="F174" s="13"/>
      <c r="G174" s="13"/>
      <c r="H174" s="2">
        <f t="shared" si="1"/>
        <v>162891.25</v>
      </c>
      <c r="I174" s="2">
        <f t="shared" si="2"/>
        <v>21</v>
      </c>
    </row>
    <row r="175" ht="14.25" customHeight="1">
      <c r="A175" s="14">
        <v>43971.0</v>
      </c>
      <c r="B175" s="15" t="s">
        <v>4</v>
      </c>
      <c r="C175" s="15">
        <v>99631.5</v>
      </c>
      <c r="D175" s="15">
        <v>7121946.0</v>
      </c>
      <c r="E175" s="13">
        <f>SUMIFS('Лист2'!C:C, 'Лист2'!A:A, A175, 'Лист2'!B:B, B175)</f>
        <v>36</v>
      </c>
      <c r="F175" s="13"/>
      <c r="G175" s="13"/>
      <c r="H175" s="2">
        <f t="shared" si="1"/>
        <v>197831.8333</v>
      </c>
      <c r="I175" s="2">
        <f t="shared" si="2"/>
        <v>21</v>
      </c>
    </row>
    <row r="176" ht="14.25" customHeight="1">
      <c r="A176" s="11">
        <v>43956.0</v>
      </c>
      <c r="B176" s="12" t="s">
        <v>4</v>
      </c>
      <c r="C176" s="12">
        <v>66396.0</v>
      </c>
      <c r="D176" s="12">
        <v>5770539.0</v>
      </c>
      <c r="E176" s="13">
        <f>SUMIFS('Лист2'!C:C, 'Лист2'!A:A, A176, 'Лист2'!B:B, B176)</f>
        <v>36</v>
      </c>
      <c r="F176" s="13"/>
      <c r="G176" s="13"/>
      <c r="H176" s="2">
        <f t="shared" si="1"/>
        <v>160292.75</v>
      </c>
      <c r="I176" s="2">
        <f t="shared" si="2"/>
        <v>19</v>
      </c>
    </row>
    <row r="177" ht="14.25" customHeight="1">
      <c r="A177" s="14">
        <v>43949.0</v>
      </c>
      <c r="B177" s="15" t="s">
        <v>4</v>
      </c>
      <c r="C177" s="15">
        <v>73147.5</v>
      </c>
      <c r="D177" s="15">
        <v>6288246.0</v>
      </c>
      <c r="E177" s="13">
        <f>SUMIFS('Лист2'!C:C, 'Лист2'!A:A, A177, 'Лист2'!B:B, B177)</f>
        <v>36</v>
      </c>
      <c r="F177" s="13"/>
      <c r="G177" s="13"/>
      <c r="H177" s="2">
        <f t="shared" si="1"/>
        <v>174673.5</v>
      </c>
      <c r="I177" s="2">
        <f t="shared" si="2"/>
        <v>18</v>
      </c>
    </row>
    <row r="178" ht="14.25" customHeight="1">
      <c r="A178" s="11">
        <v>43964.0</v>
      </c>
      <c r="B178" s="12" t="s">
        <v>4</v>
      </c>
      <c r="C178" s="12">
        <v>73062.0</v>
      </c>
      <c r="D178" s="12">
        <v>6333828.0</v>
      </c>
      <c r="E178" s="13">
        <f>SUMIFS('Лист2'!C:C, 'Лист2'!A:A, A178, 'Лист2'!B:B, B178)</f>
        <v>36</v>
      </c>
      <c r="F178" s="13"/>
      <c r="G178" s="13"/>
      <c r="H178" s="2">
        <f t="shared" si="1"/>
        <v>175939.6667</v>
      </c>
      <c r="I178" s="2">
        <f t="shared" si="2"/>
        <v>20</v>
      </c>
    </row>
    <row r="179" ht="14.25" customHeight="1">
      <c r="A179" s="14">
        <v>43982.0</v>
      </c>
      <c r="B179" s="15" t="s">
        <v>16</v>
      </c>
      <c r="C179" s="15">
        <v>379663.5</v>
      </c>
      <c r="D179" s="15">
        <v>3.9380178E7</v>
      </c>
      <c r="E179" s="13">
        <f>SUMIFS('Лист2'!C:C, 'Лист2'!A:A, A179, 'Лист2'!B:B, B179)</f>
        <v>124</v>
      </c>
      <c r="F179" s="13"/>
      <c r="G179" s="13"/>
      <c r="H179" s="2">
        <f t="shared" si="1"/>
        <v>317582.0806</v>
      </c>
      <c r="I179" s="2">
        <f t="shared" si="2"/>
        <v>22</v>
      </c>
    </row>
    <row r="180" ht="14.25" customHeight="1">
      <c r="A180" s="11">
        <v>43954.0</v>
      </c>
      <c r="B180" s="12" t="s">
        <v>4</v>
      </c>
      <c r="C180" s="12">
        <v>70581.0</v>
      </c>
      <c r="D180" s="12">
        <v>6221320.5</v>
      </c>
      <c r="E180" s="13">
        <f>SUMIFS('Лист2'!C:C, 'Лист2'!A:A, A180, 'Лист2'!B:B, B180)</f>
        <v>36</v>
      </c>
      <c r="F180" s="13"/>
      <c r="G180" s="13"/>
      <c r="H180" s="2">
        <f t="shared" si="1"/>
        <v>172814.4583</v>
      </c>
      <c r="I180" s="2">
        <f t="shared" si="2"/>
        <v>18</v>
      </c>
    </row>
    <row r="181" ht="14.25" customHeight="1">
      <c r="A181" s="14">
        <v>43981.0</v>
      </c>
      <c r="B181" s="15" t="s">
        <v>16</v>
      </c>
      <c r="C181" s="15">
        <v>453123.0</v>
      </c>
      <c r="D181" s="15">
        <v>4.6370904E7</v>
      </c>
      <c r="E181" s="13">
        <f>SUMIFS('Лист2'!C:C, 'Лист2'!A:A, A181, 'Лист2'!B:B, B181)</f>
        <v>124</v>
      </c>
      <c r="F181" s="13"/>
      <c r="G181" s="13"/>
      <c r="H181" s="2">
        <f t="shared" si="1"/>
        <v>373958.9032</v>
      </c>
      <c r="I181" s="2">
        <f t="shared" si="2"/>
        <v>22</v>
      </c>
    </row>
    <row r="182" ht="14.25" customHeight="1">
      <c r="A182" s="11">
        <v>43957.0</v>
      </c>
      <c r="B182" s="12" t="s">
        <v>4</v>
      </c>
      <c r="C182" s="12">
        <v>63012.0</v>
      </c>
      <c r="D182" s="12">
        <v>5454121.5</v>
      </c>
      <c r="E182" s="13">
        <f>SUMIFS('Лист2'!C:C, 'Лист2'!A:A, A182, 'Лист2'!B:B, B182)</f>
        <v>36</v>
      </c>
      <c r="F182" s="13"/>
      <c r="G182" s="13"/>
      <c r="H182" s="2">
        <f t="shared" si="1"/>
        <v>151503.375</v>
      </c>
      <c r="I182" s="2">
        <f t="shared" si="2"/>
        <v>19</v>
      </c>
    </row>
    <row r="183" ht="14.25" customHeight="1">
      <c r="A183" s="14">
        <v>43974.0</v>
      </c>
      <c r="B183" s="15" t="s">
        <v>4</v>
      </c>
      <c r="C183" s="15">
        <v>89556.0</v>
      </c>
      <c r="D183" s="15">
        <v>7173117.0</v>
      </c>
      <c r="E183" s="13">
        <f>SUMIFS('Лист2'!C:C, 'Лист2'!A:A, A183, 'Лист2'!B:B, B183)</f>
        <v>36</v>
      </c>
      <c r="F183" s="13"/>
      <c r="G183" s="13"/>
      <c r="H183" s="2">
        <f t="shared" si="1"/>
        <v>199253.25</v>
      </c>
      <c r="I183" s="2">
        <f t="shared" si="2"/>
        <v>21</v>
      </c>
    </row>
    <row r="184" ht="14.25" customHeight="1">
      <c r="A184" s="11">
        <v>43979.0</v>
      </c>
      <c r="B184" s="12" t="s">
        <v>16</v>
      </c>
      <c r="C184" s="12">
        <v>364638.0</v>
      </c>
      <c r="D184" s="12">
        <v>3.79476885E7</v>
      </c>
      <c r="E184" s="13">
        <f>SUMIFS('Лист2'!C:C, 'Лист2'!A:A, A184, 'Лист2'!B:B, B184)</f>
        <v>124</v>
      </c>
      <c r="F184" s="13"/>
      <c r="G184" s="13"/>
      <c r="H184" s="2">
        <f t="shared" si="1"/>
        <v>306029.746</v>
      </c>
      <c r="I184" s="2">
        <f t="shared" si="2"/>
        <v>22</v>
      </c>
    </row>
    <row r="185" ht="14.25" customHeight="1">
      <c r="A185" s="14">
        <v>43976.0</v>
      </c>
      <c r="B185" s="15" t="s">
        <v>4</v>
      </c>
      <c r="C185" s="15">
        <v>66316.5</v>
      </c>
      <c r="D185" s="15">
        <v>5704650.0</v>
      </c>
      <c r="E185" s="13">
        <f>SUMIFS('Лист2'!C:C, 'Лист2'!A:A, A185, 'Лист2'!B:B, B185)</f>
        <v>36</v>
      </c>
      <c r="F185" s="13"/>
      <c r="G185" s="13"/>
      <c r="H185" s="2">
        <f t="shared" si="1"/>
        <v>158462.5</v>
      </c>
      <c r="I185" s="2">
        <f t="shared" si="2"/>
        <v>22</v>
      </c>
    </row>
    <row r="186" ht="14.25" customHeight="1">
      <c r="A186" s="11">
        <v>43951.0</v>
      </c>
      <c r="B186" s="12" t="s">
        <v>4</v>
      </c>
      <c r="C186" s="12">
        <v>78235.5</v>
      </c>
      <c r="D186" s="12">
        <v>6819594.0</v>
      </c>
      <c r="E186" s="13">
        <f>SUMIFS('Лист2'!C:C, 'Лист2'!A:A, A186, 'Лист2'!B:B, B186)</f>
        <v>36</v>
      </c>
      <c r="F186" s="13"/>
      <c r="G186" s="13"/>
      <c r="H186" s="2">
        <f t="shared" si="1"/>
        <v>189433.1667</v>
      </c>
      <c r="I186" s="2">
        <f t="shared" si="2"/>
        <v>18</v>
      </c>
    </row>
    <row r="187" ht="14.25" customHeight="1">
      <c r="A187" s="14">
        <v>43961.0</v>
      </c>
      <c r="B187" s="15" t="s">
        <v>4</v>
      </c>
      <c r="C187" s="15">
        <v>88311.0</v>
      </c>
      <c r="D187" s="15">
        <v>7726069.5</v>
      </c>
      <c r="E187" s="13">
        <f>SUMIFS('Лист2'!C:C, 'Лист2'!A:A, A187, 'Лист2'!B:B, B187)</f>
        <v>36</v>
      </c>
      <c r="F187" s="13"/>
      <c r="G187" s="13"/>
      <c r="H187" s="2">
        <f t="shared" si="1"/>
        <v>214613.0417</v>
      </c>
      <c r="I187" s="2">
        <f t="shared" si="2"/>
        <v>19</v>
      </c>
    </row>
    <row r="188" ht="14.25" customHeight="1">
      <c r="A188" s="11">
        <v>43959.0</v>
      </c>
      <c r="B188" s="12" t="s">
        <v>4</v>
      </c>
      <c r="C188" s="12">
        <v>61804.5</v>
      </c>
      <c r="D188" s="12">
        <v>5365708.5</v>
      </c>
      <c r="E188" s="13">
        <f>SUMIFS('Лист2'!C:C, 'Лист2'!A:A, A188, 'Лист2'!B:B, B188)</f>
        <v>36</v>
      </c>
      <c r="F188" s="13"/>
      <c r="G188" s="13"/>
      <c r="H188" s="2">
        <f t="shared" si="1"/>
        <v>149047.4583</v>
      </c>
      <c r="I188" s="2">
        <f t="shared" si="2"/>
        <v>19</v>
      </c>
    </row>
    <row r="189" ht="14.25" customHeight="1">
      <c r="A189" s="14">
        <v>43958.0</v>
      </c>
      <c r="B189" s="15" t="s">
        <v>4</v>
      </c>
      <c r="C189" s="15">
        <v>71067.0</v>
      </c>
      <c r="D189" s="15">
        <v>6175837.5</v>
      </c>
      <c r="E189" s="13">
        <f>SUMIFS('Лист2'!C:C, 'Лист2'!A:A, A189, 'Лист2'!B:B, B189)</f>
        <v>36</v>
      </c>
      <c r="F189" s="13"/>
      <c r="G189" s="13"/>
      <c r="H189" s="2">
        <f t="shared" si="1"/>
        <v>171551.0417</v>
      </c>
      <c r="I189" s="2">
        <f t="shared" si="2"/>
        <v>19</v>
      </c>
    </row>
    <row r="190" ht="14.25" customHeight="1">
      <c r="A190" s="11">
        <v>43975.0</v>
      </c>
      <c r="B190" s="12" t="s">
        <v>4</v>
      </c>
      <c r="C190" s="12">
        <v>74649.0</v>
      </c>
      <c r="D190" s="12">
        <v>6098236.5</v>
      </c>
      <c r="E190" s="13">
        <f>SUMIFS('Лист2'!C:C, 'Лист2'!A:A, A190, 'Лист2'!B:B, B190)</f>
        <v>36</v>
      </c>
      <c r="F190" s="13"/>
      <c r="G190" s="13"/>
      <c r="H190" s="2">
        <f t="shared" si="1"/>
        <v>169395.4583</v>
      </c>
      <c r="I190" s="2">
        <f t="shared" si="2"/>
        <v>21</v>
      </c>
    </row>
    <row r="191" ht="14.25" customHeight="1">
      <c r="A191" s="14">
        <v>43967.0</v>
      </c>
      <c r="B191" s="15" t="s">
        <v>6</v>
      </c>
      <c r="C191" s="15">
        <v>44560.5</v>
      </c>
      <c r="D191" s="15">
        <v>4025148.0</v>
      </c>
      <c r="E191" s="13">
        <f>SUMIFS('Лист2'!C:C, 'Лист2'!A:A, A191, 'Лист2'!B:B, B191)</f>
        <v>21</v>
      </c>
      <c r="F191" s="13"/>
      <c r="G191" s="13"/>
      <c r="H191" s="2">
        <f t="shared" si="1"/>
        <v>191673.7143</v>
      </c>
      <c r="I191" s="2">
        <f t="shared" si="2"/>
        <v>20</v>
      </c>
    </row>
    <row r="192" ht="14.25" customHeight="1">
      <c r="A192" s="11">
        <v>43970.0</v>
      </c>
      <c r="B192" s="12" t="s">
        <v>6</v>
      </c>
      <c r="C192" s="12">
        <v>38250.0</v>
      </c>
      <c r="D192" s="12">
        <v>3552937.5</v>
      </c>
      <c r="E192" s="13">
        <f>SUMIFS('Лист2'!C:C, 'Лист2'!A:A, A192, 'Лист2'!B:B, B192)</f>
        <v>21</v>
      </c>
      <c r="F192" s="13"/>
      <c r="G192" s="13"/>
      <c r="H192" s="2">
        <f t="shared" si="1"/>
        <v>169187.5</v>
      </c>
      <c r="I192" s="2">
        <f t="shared" si="2"/>
        <v>21</v>
      </c>
    </row>
    <row r="193" ht="14.25" customHeight="1">
      <c r="A193" s="14">
        <v>43968.0</v>
      </c>
      <c r="B193" s="15" t="s">
        <v>6</v>
      </c>
      <c r="C193" s="15">
        <v>34830.0</v>
      </c>
      <c r="D193" s="15">
        <v>3191155.5</v>
      </c>
      <c r="E193" s="13">
        <f>SUMIFS('Лист2'!C:C, 'Лист2'!A:A, A193, 'Лист2'!B:B, B193)</f>
        <v>21</v>
      </c>
      <c r="F193" s="13"/>
      <c r="G193" s="13"/>
      <c r="H193" s="2">
        <f t="shared" si="1"/>
        <v>151959.7857</v>
      </c>
      <c r="I193" s="2">
        <f t="shared" si="2"/>
        <v>20</v>
      </c>
    </row>
    <row r="194" ht="14.25" customHeight="1">
      <c r="A194" s="11">
        <v>43960.0</v>
      </c>
      <c r="B194" s="12" t="s">
        <v>6</v>
      </c>
      <c r="C194" s="12">
        <v>32239.5</v>
      </c>
      <c r="D194" s="12">
        <v>3084892.5</v>
      </c>
      <c r="E194" s="13">
        <f>SUMIFS('Лист2'!C:C, 'Лист2'!A:A, A194, 'Лист2'!B:B, B194)</f>
        <v>21</v>
      </c>
      <c r="F194" s="13"/>
      <c r="G194" s="13"/>
      <c r="H194" s="2">
        <f t="shared" si="1"/>
        <v>146899.6429</v>
      </c>
      <c r="I194" s="2">
        <f t="shared" si="2"/>
        <v>19</v>
      </c>
    </row>
    <row r="195" ht="14.25" customHeight="1">
      <c r="A195" s="14">
        <v>43955.0</v>
      </c>
      <c r="B195" s="15" t="s">
        <v>6</v>
      </c>
      <c r="C195" s="15">
        <v>30780.0</v>
      </c>
      <c r="D195" s="15">
        <v>2817853.5</v>
      </c>
      <c r="E195" s="13">
        <f>SUMIFS('Лист2'!C:C, 'Лист2'!A:A, A195, 'Лист2'!B:B, B195)</f>
        <v>20</v>
      </c>
      <c r="F195" s="13"/>
      <c r="G195" s="13"/>
      <c r="H195" s="2">
        <f t="shared" si="1"/>
        <v>140892.675</v>
      </c>
      <c r="I195" s="2">
        <f t="shared" si="2"/>
        <v>19</v>
      </c>
    </row>
    <row r="196" ht="14.25" customHeight="1">
      <c r="A196" s="11">
        <v>43950.0</v>
      </c>
      <c r="B196" s="12" t="s">
        <v>6</v>
      </c>
      <c r="C196" s="12">
        <v>29142.0</v>
      </c>
      <c r="D196" s="12">
        <v>2627595.0</v>
      </c>
      <c r="E196" s="13">
        <f>SUMIFS('Лист2'!C:C, 'Лист2'!A:A, A196, 'Лист2'!B:B, B196)</f>
        <v>19</v>
      </c>
      <c r="F196" s="13"/>
      <c r="G196" s="13"/>
      <c r="H196" s="2">
        <f t="shared" si="1"/>
        <v>138294.4737</v>
      </c>
      <c r="I196" s="2">
        <f t="shared" si="2"/>
        <v>18</v>
      </c>
    </row>
    <row r="197" ht="14.25" customHeight="1">
      <c r="A197" s="14">
        <v>43953.0</v>
      </c>
      <c r="B197" s="15" t="s">
        <v>6</v>
      </c>
      <c r="C197" s="15">
        <v>26428.5</v>
      </c>
      <c r="D197" s="15">
        <v>2470465.5</v>
      </c>
      <c r="E197" s="13">
        <f>SUMIFS('Лист2'!C:C, 'Лист2'!A:A, A197, 'Лист2'!B:B, B197)</f>
        <v>20</v>
      </c>
      <c r="F197" s="13"/>
      <c r="G197" s="13"/>
      <c r="H197" s="2">
        <f t="shared" si="1"/>
        <v>123523.275</v>
      </c>
      <c r="I197" s="2">
        <f t="shared" si="2"/>
        <v>18</v>
      </c>
    </row>
    <row r="198" ht="14.25" customHeight="1">
      <c r="A198" s="11">
        <v>43977.0</v>
      </c>
      <c r="B198" s="12" t="s">
        <v>6</v>
      </c>
      <c r="C198" s="12">
        <v>40744.5</v>
      </c>
      <c r="D198" s="12">
        <v>3700311.0</v>
      </c>
      <c r="E198" s="13">
        <f>SUMIFS('Лист2'!C:C, 'Лист2'!A:A, A198, 'Лист2'!B:B, B198)</f>
        <v>21</v>
      </c>
      <c r="F198" s="13"/>
      <c r="G198" s="13"/>
      <c r="H198" s="2">
        <f t="shared" si="1"/>
        <v>176205.2857</v>
      </c>
      <c r="I198" s="2">
        <f t="shared" si="2"/>
        <v>22</v>
      </c>
    </row>
    <row r="199" ht="14.25" customHeight="1">
      <c r="A199" s="14">
        <v>43952.0</v>
      </c>
      <c r="B199" s="15" t="s">
        <v>6</v>
      </c>
      <c r="C199" s="15">
        <v>46620.0</v>
      </c>
      <c r="D199" s="15">
        <v>4293241.5</v>
      </c>
      <c r="E199" s="13">
        <f>SUMIFS('Лист2'!C:C, 'Лист2'!A:A, A199, 'Лист2'!B:B, B199)</f>
        <v>20</v>
      </c>
      <c r="F199" s="13"/>
      <c r="G199" s="13"/>
      <c r="H199" s="2">
        <f t="shared" si="1"/>
        <v>214662.075</v>
      </c>
      <c r="I199" s="2">
        <f t="shared" si="2"/>
        <v>18</v>
      </c>
    </row>
    <row r="200" ht="14.25" customHeight="1">
      <c r="A200" s="11">
        <v>43963.0</v>
      </c>
      <c r="B200" s="12" t="s">
        <v>6</v>
      </c>
      <c r="C200" s="12">
        <v>32419.5</v>
      </c>
      <c r="D200" s="12">
        <v>3080614.5</v>
      </c>
      <c r="E200" s="13">
        <f>SUMIFS('Лист2'!C:C, 'Лист2'!A:A, A200, 'Лист2'!B:B, B200)</f>
        <v>21</v>
      </c>
      <c r="F200" s="13"/>
      <c r="G200" s="13"/>
      <c r="H200" s="2">
        <f t="shared" si="1"/>
        <v>146695.9286</v>
      </c>
      <c r="I200" s="2">
        <f t="shared" si="2"/>
        <v>20</v>
      </c>
    </row>
    <row r="201" ht="14.25" customHeight="1">
      <c r="A201" s="14">
        <v>43972.0</v>
      </c>
      <c r="B201" s="15" t="s">
        <v>6</v>
      </c>
      <c r="C201" s="15">
        <v>40819.5</v>
      </c>
      <c r="D201" s="15">
        <v>3810394.5</v>
      </c>
      <c r="E201" s="13">
        <f>SUMIFS('Лист2'!C:C, 'Лист2'!A:A, A201, 'Лист2'!B:B, B201)</f>
        <v>21</v>
      </c>
      <c r="F201" s="13"/>
      <c r="G201" s="13"/>
      <c r="H201" s="2">
        <f t="shared" si="1"/>
        <v>181447.3571</v>
      </c>
      <c r="I201" s="2">
        <f t="shared" si="2"/>
        <v>21</v>
      </c>
    </row>
    <row r="202" ht="14.25" customHeight="1">
      <c r="A202" s="11">
        <v>43971.0</v>
      </c>
      <c r="B202" s="12" t="s">
        <v>6</v>
      </c>
      <c r="C202" s="12">
        <v>41391.0</v>
      </c>
      <c r="D202" s="12">
        <v>3918987.0</v>
      </c>
      <c r="E202" s="13">
        <f>SUMIFS('Лист2'!C:C, 'Лист2'!A:A, A202, 'Лист2'!B:B, B202)</f>
        <v>21</v>
      </c>
      <c r="F202" s="13"/>
      <c r="G202" s="13"/>
      <c r="H202" s="2">
        <f t="shared" si="1"/>
        <v>186618.4286</v>
      </c>
      <c r="I202" s="2">
        <f t="shared" si="2"/>
        <v>21</v>
      </c>
    </row>
    <row r="203" ht="14.25" customHeight="1">
      <c r="A203" s="14">
        <v>43956.0</v>
      </c>
      <c r="B203" s="15" t="s">
        <v>6</v>
      </c>
      <c r="C203" s="15">
        <v>29482.5</v>
      </c>
      <c r="D203" s="15">
        <v>2648688.0</v>
      </c>
      <c r="E203" s="13">
        <f>SUMIFS('Лист2'!C:C, 'Лист2'!A:A, A203, 'Лист2'!B:B, B203)</f>
        <v>20</v>
      </c>
      <c r="F203" s="13"/>
      <c r="G203" s="13"/>
      <c r="H203" s="2">
        <f t="shared" si="1"/>
        <v>132434.4</v>
      </c>
      <c r="I203" s="2">
        <f t="shared" si="2"/>
        <v>19</v>
      </c>
    </row>
    <row r="204" ht="14.25" customHeight="1">
      <c r="A204" s="11">
        <v>43949.0</v>
      </c>
      <c r="B204" s="12" t="s">
        <v>6</v>
      </c>
      <c r="C204" s="12">
        <v>32181.0</v>
      </c>
      <c r="D204" s="12">
        <v>2863600.5</v>
      </c>
      <c r="E204" s="13">
        <f>SUMIFS('Лист2'!C:C, 'Лист2'!A:A, A204, 'Лист2'!B:B, B204)</f>
        <v>19</v>
      </c>
      <c r="F204" s="13"/>
      <c r="G204" s="13"/>
      <c r="H204" s="2">
        <f t="shared" si="1"/>
        <v>150715.8158</v>
      </c>
      <c r="I204" s="2">
        <f t="shared" si="2"/>
        <v>18</v>
      </c>
    </row>
    <row r="205" ht="14.25" customHeight="1">
      <c r="A205" s="14">
        <v>43964.0</v>
      </c>
      <c r="B205" s="15" t="s">
        <v>6</v>
      </c>
      <c r="C205" s="15">
        <v>35535.0</v>
      </c>
      <c r="D205" s="15">
        <v>3288069.0</v>
      </c>
      <c r="E205" s="13">
        <f>SUMIFS('Лист2'!C:C, 'Лист2'!A:A, A205, 'Лист2'!B:B, B205)</f>
        <v>21</v>
      </c>
      <c r="F205" s="13"/>
      <c r="G205" s="13"/>
      <c r="H205" s="2">
        <f t="shared" si="1"/>
        <v>156574.7143</v>
      </c>
      <c r="I205" s="2">
        <f t="shared" si="2"/>
        <v>20</v>
      </c>
    </row>
    <row r="206" ht="14.25" customHeight="1">
      <c r="A206" s="11">
        <v>43982.0</v>
      </c>
      <c r="B206" s="12" t="s">
        <v>4</v>
      </c>
      <c r="C206" s="12">
        <v>76234.5</v>
      </c>
      <c r="D206" s="12">
        <v>6500848.5</v>
      </c>
      <c r="E206" s="13">
        <f>SUMIFS('Лист2'!C:C, 'Лист2'!A:A, A206, 'Лист2'!B:B, B206)</f>
        <v>37</v>
      </c>
      <c r="F206" s="13"/>
      <c r="G206" s="13"/>
      <c r="H206" s="2">
        <f t="shared" si="1"/>
        <v>175698.6081</v>
      </c>
      <c r="I206" s="2">
        <f t="shared" si="2"/>
        <v>22</v>
      </c>
    </row>
    <row r="207" ht="14.25" customHeight="1">
      <c r="A207" s="14">
        <v>43954.0</v>
      </c>
      <c r="B207" s="15" t="s">
        <v>6</v>
      </c>
      <c r="C207" s="15">
        <v>29935.5</v>
      </c>
      <c r="D207" s="15">
        <v>2720002.5</v>
      </c>
      <c r="E207" s="13">
        <f>SUMIFS('Лист2'!C:C, 'Лист2'!A:A, A207, 'Лист2'!B:B, B207)</f>
        <v>20</v>
      </c>
      <c r="F207" s="13"/>
      <c r="G207" s="13"/>
      <c r="H207" s="2">
        <f t="shared" si="1"/>
        <v>136000.125</v>
      </c>
      <c r="I207" s="2">
        <f t="shared" si="2"/>
        <v>18</v>
      </c>
    </row>
    <row r="208" ht="14.25" customHeight="1">
      <c r="A208" s="11">
        <v>43981.0</v>
      </c>
      <c r="B208" s="12" t="s">
        <v>4</v>
      </c>
      <c r="C208" s="12">
        <v>106926.0</v>
      </c>
      <c r="D208" s="12">
        <v>9098386.5</v>
      </c>
      <c r="E208" s="13">
        <f>SUMIFS('Лист2'!C:C, 'Лист2'!A:A, A208, 'Лист2'!B:B, B208)</f>
        <v>37</v>
      </c>
      <c r="F208" s="13"/>
      <c r="G208" s="13"/>
      <c r="H208" s="2">
        <f t="shared" si="1"/>
        <v>245902.3378</v>
      </c>
      <c r="I208" s="2">
        <f t="shared" si="2"/>
        <v>22</v>
      </c>
    </row>
    <row r="209" ht="14.25" customHeight="1">
      <c r="A209" s="14">
        <v>43957.0</v>
      </c>
      <c r="B209" s="15" t="s">
        <v>6</v>
      </c>
      <c r="C209" s="15">
        <v>30342.0</v>
      </c>
      <c r="D209" s="15">
        <v>2738127.0</v>
      </c>
      <c r="E209" s="13">
        <f>SUMIFS('Лист2'!C:C, 'Лист2'!A:A, A209, 'Лист2'!B:B, B209)</f>
        <v>20</v>
      </c>
      <c r="F209" s="13"/>
      <c r="G209" s="13"/>
      <c r="H209" s="2">
        <f t="shared" si="1"/>
        <v>136906.35</v>
      </c>
      <c r="I209" s="2">
        <f t="shared" si="2"/>
        <v>19</v>
      </c>
    </row>
    <row r="210" ht="14.25" customHeight="1">
      <c r="A210" s="11">
        <v>43974.0</v>
      </c>
      <c r="B210" s="12" t="s">
        <v>6</v>
      </c>
      <c r="C210" s="12">
        <v>42999.0</v>
      </c>
      <c r="D210" s="12">
        <v>3883215.0</v>
      </c>
      <c r="E210" s="13">
        <f>SUMIFS('Лист2'!C:C, 'Лист2'!A:A, A210, 'Лист2'!B:B, B210)</f>
        <v>21</v>
      </c>
      <c r="F210" s="13"/>
      <c r="G210" s="13"/>
      <c r="H210" s="2">
        <f t="shared" si="1"/>
        <v>184915</v>
      </c>
      <c r="I210" s="2">
        <f t="shared" si="2"/>
        <v>21</v>
      </c>
    </row>
    <row r="211" ht="14.25" customHeight="1">
      <c r="A211" s="14">
        <v>43979.0</v>
      </c>
      <c r="B211" s="15" t="s">
        <v>4</v>
      </c>
      <c r="C211" s="15">
        <v>69945.0</v>
      </c>
      <c r="D211" s="15">
        <v>6101931.0</v>
      </c>
      <c r="E211" s="13">
        <f>SUMIFS('Лист2'!C:C, 'Лист2'!A:A, A211, 'Лист2'!B:B, B211)</f>
        <v>37</v>
      </c>
      <c r="F211" s="13"/>
      <c r="G211" s="13"/>
      <c r="H211" s="2">
        <f t="shared" si="1"/>
        <v>164917.0541</v>
      </c>
      <c r="I211" s="2">
        <f t="shared" si="2"/>
        <v>22</v>
      </c>
    </row>
    <row r="212" ht="14.25" customHeight="1">
      <c r="A212" s="11">
        <v>43976.0</v>
      </c>
      <c r="B212" s="12" t="s">
        <v>6</v>
      </c>
      <c r="C212" s="12">
        <v>38740.5</v>
      </c>
      <c r="D212" s="12">
        <v>3561655.5</v>
      </c>
      <c r="E212" s="13">
        <f>SUMIFS('Лист2'!C:C, 'Лист2'!A:A, A212, 'Лист2'!B:B, B212)</f>
        <v>21</v>
      </c>
      <c r="F212" s="13"/>
      <c r="G212" s="13"/>
      <c r="H212" s="2">
        <f t="shared" si="1"/>
        <v>169602.6429</v>
      </c>
      <c r="I212" s="2">
        <f t="shared" si="2"/>
        <v>22</v>
      </c>
    </row>
    <row r="213" ht="14.25" customHeight="1">
      <c r="A213" s="14">
        <v>43951.0</v>
      </c>
      <c r="B213" s="15" t="s">
        <v>6</v>
      </c>
      <c r="C213" s="15">
        <v>31231.5</v>
      </c>
      <c r="D213" s="15">
        <v>2853310.5</v>
      </c>
      <c r="E213" s="13">
        <f>SUMIFS('Лист2'!C:C, 'Лист2'!A:A, A213, 'Лист2'!B:B, B213)</f>
        <v>20</v>
      </c>
      <c r="F213" s="13"/>
      <c r="G213" s="13"/>
      <c r="H213" s="2">
        <f t="shared" si="1"/>
        <v>142665.525</v>
      </c>
      <c r="I213" s="2">
        <f t="shared" si="2"/>
        <v>18</v>
      </c>
    </row>
    <row r="214" ht="14.25" customHeight="1">
      <c r="A214" s="11">
        <v>43961.0</v>
      </c>
      <c r="B214" s="12" t="s">
        <v>6</v>
      </c>
      <c r="C214" s="12">
        <v>37489.5</v>
      </c>
      <c r="D214" s="12">
        <v>3549097.5</v>
      </c>
      <c r="E214" s="13">
        <f>SUMIFS('Лист2'!C:C, 'Лист2'!A:A, A214, 'Лист2'!B:B, B214)</f>
        <v>21</v>
      </c>
      <c r="F214" s="13"/>
      <c r="G214" s="13"/>
      <c r="H214" s="2">
        <f t="shared" si="1"/>
        <v>169004.6429</v>
      </c>
      <c r="I214" s="2">
        <f t="shared" si="2"/>
        <v>19</v>
      </c>
    </row>
    <row r="215" ht="14.25" customHeight="1">
      <c r="A215" s="14">
        <v>43959.0</v>
      </c>
      <c r="B215" s="15" t="s">
        <v>6</v>
      </c>
      <c r="C215" s="15">
        <v>34399.5</v>
      </c>
      <c r="D215" s="15">
        <v>3201358.5</v>
      </c>
      <c r="E215" s="13">
        <f>SUMIFS('Лист2'!C:C, 'Лист2'!A:A, A215, 'Лист2'!B:B, B215)</f>
        <v>21</v>
      </c>
      <c r="F215" s="13"/>
      <c r="G215" s="13"/>
      <c r="H215" s="2">
        <f t="shared" si="1"/>
        <v>152445.6429</v>
      </c>
      <c r="I215" s="2">
        <f t="shared" si="2"/>
        <v>19</v>
      </c>
    </row>
    <row r="216" ht="14.25" customHeight="1">
      <c r="A216" s="11">
        <v>43958.0</v>
      </c>
      <c r="B216" s="12" t="s">
        <v>6</v>
      </c>
      <c r="C216" s="12">
        <v>32851.5</v>
      </c>
      <c r="D216" s="12">
        <v>2934504.0</v>
      </c>
      <c r="E216" s="13">
        <f>SUMIFS('Лист2'!C:C, 'Лист2'!A:A, A216, 'Лист2'!B:B, B216)</f>
        <v>21</v>
      </c>
      <c r="F216" s="13"/>
      <c r="G216" s="13"/>
      <c r="H216" s="2">
        <f t="shared" si="1"/>
        <v>139738.2857</v>
      </c>
      <c r="I216" s="2">
        <f t="shared" si="2"/>
        <v>19</v>
      </c>
    </row>
    <row r="217" ht="14.25" customHeight="1">
      <c r="A217" s="14">
        <v>43975.0</v>
      </c>
      <c r="B217" s="15" t="s">
        <v>6</v>
      </c>
      <c r="C217" s="15">
        <v>38194.5</v>
      </c>
      <c r="D217" s="15">
        <v>3449302.5</v>
      </c>
      <c r="E217" s="13">
        <f>SUMIFS('Лист2'!C:C, 'Лист2'!A:A, A217, 'Лист2'!B:B, B217)</f>
        <v>21</v>
      </c>
      <c r="F217" s="13"/>
      <c r="G217" s="13"/>
      <c r="H217" s="2">
        <f t="shared" si="1"/>
        <v>164252.5</v>
      </c>
      <c r="I217" s="2">
        <f t="shared" si="2"/>
        <v>21</v>
      </c>
    </row>
    <row r="218" ht="14.25" customHeight="1">
      <c r="A218" s="11">
        <v>43982.0</v>
      </c>
      <c r="B218" s="12" t="s">
        <v>6</v>
      </c>
      <c r="C218" s="12">
        <v>42423.0</v>
      </c>
      <c r="D218" s="12">
        <v>3994153.5</v>
      </c>
      <c r="E218" s="13">
        <f>SUMIFS('Лист2'!C:C, 'Лист2'!A:A, A218, 'Лист2'!B:B, B218)</f>
        <v>23</v>
      </c>
      <c r="F218" s="13"/>
      <c r="G218" s="13"/>
      <c r="H218" s="2">
        <f t="shared" si="1"/>
        <v>173658.8478</v>
      </c>
      <c r="I218" s="2">
        <f t="shared" si="2"/>
        <v>22</v>
      </c>
    </row>
    <row r="219" ht="14.25" customHeight="1">
      <c r="A219" s="14">
        <v>43981.0</v>
      </c>
      <c r="B219" s="15" t="s">
        <v>6</v>
      </c>
      <c r="C219" s="15">
        <v>48286.5</v>
      </c>
      <c r="D219" s="15">
        <v>4456441.5</v>
      </c>
      <c r="E219" s="13">
        <f>SUMIFS('Лист2'!C:C, 'Лист2'!A:A, A219, 'Лист2'!B:B, B219)</f>
        <v>22</v>
      </c>
      <c r="F219" s="13"/>
      <c r="G219" s="13"/>
      <c r="H219" s="2">
        <f t="shared" si="1"/>
        <v>202565.5227</v>
      </c>
      <c r="I219" s="2">
        <f t="shared" si="2"/>
        <v>22</v>
      </c>
    </row>
    <row r="220" ht="14.25" customHeight="1">
      <c r="A220" s="11">
        <v>43979.0</v>
      </c>
      <c r="B220" s="12" t="s">
        <v>6</v>
      </c>
      <c r="C220" s="12">
        <v>41442.0</v>
      </c>
      <c r="D220" s="12">
        <v>3893680.5</v>
      </c>
      <c r="E220" s="13">
        <f>SUMIFS('Лист2'!C:C, 'Лист2'!A:A, A220, 'Лист2'!B:B, B220)</f>
        <v>22</v>
      </c>
      <c r="F220" s="13"/>
      <c r="G220" s="13"/>
      <c r="H220" s="2">
        <f t="shared" si="1"/>
        <v>176985.4773</v>
      </c>
      <c r="I220" s="2">
        <f t="shared" si="2"/>
        <v>22</v>
      </c>
    </row>
    <row r="221" ht="14.25" customHeight="1">
      <c r="A221" s="14">
        <v>43967.0</v>
      </c>
      <c r="B221" s="15" t="s">
        <v>13</v>
      </c>
      <c r="C221" s="15">
        <v>18600.0</v>
      </c>
      <c r="D221" s="15">
        <v>1601425.5</v>
      </c>
      <c r="E221" s="13">
        <f>SUMIFS('Лист2'!C:C, 'Лист2'!A:A, A221, 'Лист2'!B:B, B221)</f>
        <v>15</v>
      </c>
      <c r="F221" s="13"/>
      <c r="G221" s="13"/>
      <c r="H221" s="2">
        <f t="shared" si="1"/>
        <v>106761.7</v>
      </c>
      <c r="I221" s="2">
        <f t="shared" si="2"/>
        <v>20</v>
      </c>
    </row>
    <row r="222" ht="14.25" customHeight="1">
      <c r="A222" s="11">
        <v>43970.0</v>
      </c>
      <c r="B222" s="12" t="s">
        <v>13</v>
      </c>
      <c r="C222" s="12">
        <v>16638.0</v>
      </c>
      <c r="D222" s="12">
        <v>1364847.0</v>
      </c>
      <c r="E222" s="13">
        <f>SUMIFS('Лист2'!C:C, 'Лист2'!A:A, A222, 'Лист2'!B:B, B222)</f>
        <v>16</v>
      </c>
      <c r="F222" s="13"/>
      <c r="G222" s="13"/>
      <c r="H222" s="2">
        <f t="shared" si="1"/>
        <v>85302.9375</v>
      </c>
      <c r="I222" s="2">
        <f t="shared" si="2"/>
        <v>21</v>
      </c>
    </row>
    <row r="223" ht="14.25" customHeight="1">
      <c r="A223" s="14">
        <v>43968.0</v>
      </c>
      <c r="B223" s="15" t="s">
        <v>13</v>
      </c>
      <c r="C223" s="15">
        <v>15609.0</v>
      </c>
      <c r="D223" s="15">
        <v>1377577.5</v>
      </c>
      <c r="E223" s="13">
        <f>SUMIFS('Лист2'!C:C, 'Лист2'!A:A, A223, 'Лист2'!B:B, B223)</f>
        <v>15</v>
      </c>
      <c r="F223" s="13"/>
      <c r="G223" s="13"/>
      <c r="H223" s="2">
        <f t="shared" si="1"/>
        <v>91838.5</v>
      </c>
      <c r="I223" s="2">
        <f t="shared" si="2"/>
        <v>20</v>
      </c>
    </row>
    <row r="224" ht="14.25" customHeight="1">
      <c r="A224" s="11">
        <v>43960.0</v>
      </c>
      <c r="B224" s="12" t="s">
        <v>13</v>
      </c>
      <c r="C224" s="12">
        <v>13948.5</v>
      </c>
      <c r="D224" s="12">
        <v>1222932.0</v>
      </c>
      <c r="E224" s="13">
        <f>SUMIFS('Лист2'!C:C, 'Лист2'!A:A, A224, 'Лист2'!B:B, B224)</f>
        <v>15</v>
      </c>
      <c r="F224" s="13"/>
      <c r="G224" s="13"/>
      <c r="H224" s="2">
        <f t="shared" si="1"/>
        <v>81528.8</v>
      </c>
      <c r="I224" s="2">
        <f t="shared" si="2"/>
        <v>19</v>
      </c>
    </row>
    <row r="225" ht="14.25" customHeight="1">
      <c r="A225" s="14">
        <v>43955.0</v>
      </c>
      <c r="B225" s="15" t="s">
        <v>13</v>
      </c>
      <c r="C225" s="15">
        <v>12301.5</v>
      </c>
      <c r="D225" s="15">
        <v>1085211.0</v>
      </c>
      <c r="E225" s="13">
        <f>SUMIFS('Лист2'!C:C, 'Лист2'!A:A, A225, 'Лист2'!B:B, B225)</f>
        <v>15</v>
      </c>
      <c r="F225" s="13"/>
      <c r="G225" s="13"/>
      <c r="H225" s="2">
        <f t="shared" si="1"/>
        <v>72347.4</v>
      </c>
      <c r="I225" s="2">
        <f t="shared" si="2"/>
        <v>19</v>
      </c>
    </row>
    <row r="226" ht="14.25" customHeight="1">
      <c r="A226" s="11">
        <v>43950.0</v>
      </c>
      <c r="B226" s="12" t="s">
        <v>13</v>
      </c>
      <c r="C226" s="12">
        <v>13014.0</v>
      </c>
      <c r="D226" s="12">
        <v>1115992.5</v>
      </c>
      <c r="E226" s="13">
        <f>SUMIFS('Лист2'!C:C, 'Лист2'!A:A, A226, 'Лист2'!B:B, B226)</f>
        <v>15</v>
      </c>
      <c r="F226" s="13"/>
      <c r="G226" s="13"/>
      <c r="H226" s="2">
        <f t="shared" si="1"/>
        <v>74399.5</v>
      </c>
      <c r="I226" s="2">
        <f t="shared" si="2"/>
        <v>18</v>
      </c>
    </row>
    <row r="227" ht="14.25" customHeight="1">
      <c r="A227" s="14">
        <v>43953.0</v>
      </c>
      <c r="B227" s="15" t="s">
        <v>13</v>
      </c>
      <c r="C227" s="15">
        <v>12313.5</v>
      </c>
      <c r="D227" s="15">
        <v>1053220.5</v>
      </c>
      <c r="E227" s="13">
        <f>SUMIFS('Лист2'!C:C, 'Лист2'!A:A, A227, 'Лист2'!B:B, B227)</f>
        <v>15</v>
      </c>
      <c r="F227" s="13"/>
      <c r="G227" s="13"/>
      <c r="H227" s="2">
        <f t="shared" si="1"/>
        <v>70214.7</v>
      </c>
      <c r="I227" s="2">
        <f t="shared" si="2"/>
        <v>18</v>
      </c>
    </row>
    <row r="228" ht="14.25" customHeight="1">
      <c r="A228" s="11">
        <v>43977.0</v>
      </c>
      <c r="B228" s="12" t="s">
        <v>13</v>
      </c>
      <c r="C228" s="12">
        <v>17391.0</v>
      </c>
      <c r="D228" s="12">
        <v>1489132.5</v>
      </c>
      <c r="E228" s="13">
        <f>SUMIFS('Лист2'!C:C, 'Лист2'!A:A, A228, 'Лист2'!B:B, B228)</f>
        <v>17</v>
      </c>
      <c r="F228" s="13"/>
      <c r="G228" s="13"/>
      <c r="H228" s="2">
        <f t="shared" si="1"/>
        <v>87596.02941</v>
      </c>
      <c r="I228" s="2">
        <f t="shared" si="2"/>
        <v>22</v>
      </c>
    </row>
    <row r="229" ht="14.25" customHeight="1">
      <c r="A229" s="14">
        <v>43952.0</v>
      </c>
      <c r="B229" s="15" t="s">
        <v>13</v>
      </c>
      <c r="C229" s="15">
        <v>17113.5</v>
      </c>
      <c r="D229" s="15">
        <v>1465842.0</v>
      </c>
      <c r="E229" s="13">
        <f>SUMIFS('Лист2'!C:C, 'Лист2'!A:A, A229, 'Лист2'!B:B, B229)</f>
        <v>15</v>
      </c>
      <c r="F229" s="13"/>
      <c r="G229" s="13"/>
      <c r="H229" s="2">
        <f t="shared" si="1"/>
        <v>97722.8</v>
      </c>
      <c r="I229" s="2">
        <f t="shared" si="2"/>
        <v>18</v>
      </c>
    </row>
    <row r="230" ht="14.25" customHeight="1">
      <c r="A230" s="11">
        <v>43963.0</v>
      </c>
      <c r="B230" s="12" t="s">
        <v>13</v>
      </c>
      <c r="C230" s="12">
        <v>12802.5</v>
      </c>
      <c r="D230" s="12">
        <v>1123830.0</v>
      </c>
      <c r="E230" s="13">
        <f>SUMIFS('Лист2'!C:C, 'Лист2'!A:A, A230, 'Лист2'!B:B, B230)</f>
        <v>15</v>
      </c>
      <c r="F230" s="13"/>
      <c r="G230" s="13"/>
      <c r="H230" s="2">
        <f t="shared" si="1"/>
        <v>74922</v>
      </c>
      <c r="I230" s="2">
        <f t="shared" si="2"/>
        <v>20</v>
      </c>
    </row>
    <row r="231" ht="14.25" customHeight="1">
      <c r="A231" s="14">
        <v>43972.0</v>
      </c>
      <c r="B231" s="15" t="s">
        <v>13</v>
      </c>
      <c r="C231" s="15">
        <v>16554.0</v>
      </c>
      <c r="D231" s="15">
        <v>1380751.5</v>
      </c>
      <c r="E231" s="13">
        <f>SUMIFS('Лист2'!C:C, 'Лист2'!A:A, A231, 'Лист2'!B:B, B231)</f>
        <v>17</v>
      </c>
      <c r="F231" s="13"/>
      <c r="G231" s="13"/>
      <c r="H231" s="2">
        <f t="shared" si="1"/>
        <v>81220.67647</v>
      </c>
      <c r="I231" s="2">
        <f t="shared" si="2"/>
        <v>21</v>
      </c>
    </row>
    <row r="232" ht="14.25" customHeight="1">
      <c r="A232" s="11">
        <v>43971.0</v>
      </c>
      <c r="B232" s="12" t="s">
        <v>13</v>
      </c>
      <c r="C232" s="12">
        <v>17329.5</v>
      </c>
      <c r="D232" s="12">
        <v>1430254.5</v>
      </c>
      <c r="E232" s="13">
        <f>SUMIFS('Лист2'!C:C, 'Лист2'!A:A, A232, 'Лист2'!B:B, B232)</f>
        <v>16</v>
      </c>
      <c r="F232" s="13"/>
      <c r="G232" s="13"/>
      <c r="H232" s="2">
        <f t="shared" si="1"/>
        <v>89390.90625</v>
      </c>
      <c r="I232" s="2">
        <f t="shared" si="2"/>
        <v>21</v>
      </c>
    </row>
    <row r="233" ht="14.25" customHeight="1">
      <c r="A233" s="14">
        <v>43956.0</v>
      </c>
      <c r="B233" s="15" t="s">
        <v>13</v>
      </c>
      <c r="C233" s="15">
        <v>15987.0</v>
      </c>
      <c r="D233" s="15">
        <v>1384179.0</v>
      </c>
      <c r="E233" s="13">
        <f>SUMIFS('Лист2'!C:C, 'Лист2'!A:A, A233, 'Лист2'!B:B, B233)</f>
        <v>15</v>
      </c>
      <c r="F233" s="13"/>
      <c r="G233" s="13"/>
      <c r="H233" s="2">
        <f t="shared" si="1"/>
        <v>92278.6</v>
      </c>
      <c r="I233" s="2">
        <f t="shared" si="2"/>
        <v>19</v>
      </c>
    </row>
    <row r="234" ht="14.25" customHeight="1">
      <c r="A234" s="11">
        <v>43949.0</v>
      </c>
      <c r="B234" s="12" t="s">
        <v>13</v>
      </c>
      <c r="C234" s="12">
        <v>13303.5</v>
      </c>
      <c r="D234" s="12">
        <v>1102887.0</v>
      </c>
      <c r="E234" s="13">
        <f>SUMIFS('Лист2'!C:C, 'Лист2'!A:A, A234, 'Лист2'!B:B, B234)</f>
        <v>15</v>
      </c>
      <c r="F234" s="13"/>
      <c r="G234" s="13"/>
      <c r="H234" s="2">
        <f t="shared" si="1"/>
        <v>73525.8</v>
      </c>
      <c r="I234" s="2">
        <f t="shared" si="2"/>
        <v>18</v>
      </c>
    </row>
    <row r="235" ht="14.25" customHeight="1">
      <c r="A235" s="14">
        <v>43964.0</v>
      </c>
      <c r="B235" s="15" t="s">
        <v>13</v>
      </c>
      <c r="C235" s="15">
        <v>14305.5</v>
      </c>
      <c r="D235" s="15">
        <v>1243507.5</v>
      </c>
      <c r="E235" s="13">
        <f>SUMIFS('Лист2'!C:C, 'Лист2'!A:A, A235, 'Лист2'!B:B, B235)</f>
        <v>15</v>
      </c>
      <c r="F235" s="13"/>
      <c r="G235" s="13"/>
      <c r="H235" s="2">
        <f t="shared" si="1"/>
        <v>82900.5</v>
      </c>
      <c r="I235" s="2">
        <f t="shared" si="2"/>
        <v>20</v>
      </c>
    </row>
    <row r="236" ht="14.25" customHeight="1">
      <c r="A236" s="11">
        <v>43954.0</v>
      </c>
      <c r="B236" s="12" t="s">
        <v>13</v>
      </c>
      <c r="C236" s="12">
        <v>12924.0</v>
      </c>
      <c r="D236" s="12">
        <v>1120009.5</v>
      </c>
      <c r="E236" s="13">
        <f>SUMIFS('Лист2'!C:C, 'Лист2'!A:A, A236, 'Лист2'!B:B, B236)</f>
        <v>15</v>
      </c>
      <c r="F236" s="13"/>
      <c r="G236" s="13"/>
      <c r="H236" s="2">
        <f t="shared" si="1"/>
        <v>74667.3</v>
      </c>
      <c r="I236" s="2">
        <f t="shared" si="2"/>
        <v>18</v>
      </c>
    </row>
    <row r="237" ht="14.25" customHeight="1">
      <c r="A237" s="14">
        <v>43957.0</v>
      </c>
      <c r="B237" s="15" t="s">
        <v>13</v>
      </c>
      <c r="C237" s="15">
        <v>14061.0</v>
      </c>
      <c r="D237" s="15">
        <v>1221057.0</v>
      </c>
      <c r="E237" s="13">
        <f>SUMIFS('Лист2'!C:C, 'Лист2'!A:A, A237, 'Лист2'!B:B, B237)</f>
        <v>15</v>
      </c>
      <c r="F237" s="13"/>
      <c r="G237" s="13"/>
      <c r="H237" s="2">
        <f t="shared" si="1"/>
        <v>81403.8</v>
      </c>
      <c r="I237" s="2">
        <f t="shared" si="2"/>
        <v>19</v>
      </c>
    </row>
    <row r="238" ht="14.25" customHeight="1">
      <c r="A238" s="11">
        <v>43974.0</v>
      </c>
      <c r="B238" s="12" t="s">
        <v>13</v>
      </c>
      <c r="C238" s="12">
        <v>21958.5</v>
      </c>
      <c r="D238" s="12">
        <v>1854001.5</v>
      </c>
      <c r="E238" s="13">
        <f>SUMIFS('Лист2'!C:C, 'Лист2'!A:A, A238, 'Лист2'!B:B, B238)</f>
        <v>17</v>
      </c>
      <c r="F238" s="13"/>
      <c r="G238" s="13"/>
      <c r="H238" s="2">
        <f t="shared" si="1"/>
        <v>109058.9118</v>
      </c>
      <c r="I238" s="2">
        <f t="shared" si="2"/>
        <v>21</v>
      </c>
    </row>
    <row r="239" ht="14.25" customHeight="1">
      <c r="A239" s="14">
        <v>43976.0</v>
      </c>
      <c r="B239" s="15" t="s">
        <v>13</v>
      </c>
      <c r="C239" s="15">
        <v>17211.0</v>
      </c>
      <c r="D239" s="15">
        <v>1507867.5</v>
      </c>
      <c r="E239" s="13">
        <f>SUMIFS('Лист2'!C:C, 'Лист2'!A:A, A239, 'Лист2'!B:B, B239)</f>
        <v>17</v>
      </c>
      <c r="F239" s="13"/>
      <c r="G239" s="13"/>
      <c r="H239" s="2">
        <f t="shared" si="1"/>
        <v>88698.08824</v>
      </c>
      <c r="I239" s="2">
        <f t="shared" si="2"/>
        <v>22</v>
      </c>
    </row>
    <row r="240" ht="14.25" customHeight="1">
      <c r="A240" s="11">
        <v>43951.0</v>
      </c>
      <c r="B240" s="12" t="s">
        <v>13</v>
      </c>
      <c r="C240" s="12">
        <v>12753.0</v>
      </c>
      <c r="D240" s="12">
        <v>1103068.5</v>
      </c>
      <c r="E240" s="13">
        <f>SUMIFS('Лист2'!C:C, 'Лист2'!A:A, A240, 'Лист2'!B:B, B240)</f>
        <v>15</v>
      </c>
      <c r="F240" s="13"/>
      <c r="G240" s="13"/>
      <c r="H240" s="2">
        <f t="shared" si="1"/>
        <v>73537.9</v>
      </c>
      <c r="I240" s="2">
        <f t="shared" si="2"/>
        <v>18</v>
      </c>
    </row>
    <row r="241" ht="14.25" customHeight="1">
      <c r="A241" s="14">
        <v>43961.0</v>
      </c>
      <c r="B241" s="15" t="s">
        <v>13</v>
      </c>
      <c r="C241" s="15">
        <v>16435.5</v>
      </c>
      <c r="D241" s="15">
        <v>1471537.5</v>
      </c>
      <c r="E241" s="13">
        <f>SUMIFS('Лист2'!C:C, 'Лист2'!A:A, A241, 'Лист2'!B:B, B241)</f>
        <v>15</v>
      </c>
      <c r="F241" s="13"/>
      <c r="G241" s="13"/>
      <c r="H241" s="2">
        <f t="shared" si="1"/>
        <v>98102.5</v>
      </c>
      <c r="I241" s="2">
        <f t="shared" si="2"/>
        <v>19</v>
      </c>
    </row>
    <row r="242" ht="14.25" customHeight="1">
      <c r="A242" s="11">
        <v>43959.0</v>
      </c>
      <c r="B242" s="12" t="s">
        <v>13</v>
      </c>
      <c r="C242" s="12">
        <v>14494.5</v>
      </c>
      <c r="D242" s="12">
        <v>1269786.0</v>
      </c>
      <c r="E242" s="13">
        <f>SUMIFS('Лист2'!C:C, 'Лист2'!A:A, A242, 'Лист2'!B:B, B242)</f>
        <v>15</v>
      </c>
      <c r="F242" s="13"/>
      <c r="G242" s="13"/>
      <c r="H242" s="2">
        <f t="shared" si="1"/>
        <v>84652.4</v>
      </c>
      <c r="I242" s="2">
        <f t="shared" si="2"/>
        <v>19</v>
      </c>
    </row>
    <row r="243" ht="14.25" customHeight="1">
      <c r="A243" s="14">
        <v>43958.0</v>
      </c>
      <c r="B243" s="15" t="s">
        <v>13</v>
      </c>
      <c r="C243" s="15">
        <v>12705.0</v>
      </c>
      <c r="D243" s="15">
        <v>1123894.5</v>
      </c>
      <c r="E243" s="13">
        <f>SUMIFS('Лист2'!C:C, 'Лист2'!A:A, A243, 'Лист2'!B:B, B243)</f>
        <v>15</v>
      </c>
      <c r="F243" s="13"/>
      <c r="G243" s="13"/>
      <c r="H243" s="2">
        <f t="shared" si="1"/>
        <v>74926.3</v>
      </c>
      <c r="I243" s="2">
        <f t="shared" si="2"/>
        <v>19</v>
      </c>
    </row>
    <row r="244" ht="14.25" customHeight="1">
      <c r="A244" s="11">
        <v>43975.0</v>
      </c>
      <c r="B244" s="12" t="s">
        <v>13</v>
      </c>
      <c r="C244" s="12">
        <v>18075.0</v>
      </c>
      <c r="D244" s="12">
        <v>1548099.0</v>
      </c>
      <c r="E244" s="13">
        <f>SUMIFS('Лист2'!C:C, 'Лист2'!A:A, A244, 'Лист2'!B:B, B244)</f>
        <v>17</v>
      </c>
      <c r="F244" s="13"/>
      <c r="G244" s="13"/>
      <c r="H244" s="2">
        <f t="shared" si="1"/>
        <v>91064.64706</v>
      </c>
      <c r="I244" s="2">
        <f t="shared" si="2"/>
        <v>21</v>
      </c>
    </row>
    <row r="245" ht="14.25" customHeight="1">
      <c r="A245" s="14">
        <v>43967.0</v>
      </c>
      <c r="B245" s="15" t="s">
        <v>14</v>
      </c>
      <c r="C245" s="15">
        <v>13120.5</v>
      </c>
      <c r="D245" s="15">
        <v>1215033.0</v>
      </c>
      <c r="E245" s="13">
        <f>SUMIFS('Лист2'!C:C, 'Лист2'!A:A, A245, 'Лист2'!B:B, B245)</f>
        <v>15</v>
      </c>
      <c r="F245" s="13"/>
      <c r="G245" s="13"/>
      <c r="H245" s="2">
        <f t="shared" si="1"/>
        <v>81002.2</v>
      </c>
      <c r="I245" s="2">
        <f t="shared" si="2"/>
        <v>20</v>
      </c>
    </row>
    <row r="246" ht="14.25" customHeight="1">
      <c r="A246" s="11">
        <v>43970.0</v>
      </c>
      <c r="B246" s="12" t="s">
        <v>14</v>
      </c>
      <c r="C246" s="12">
        <v>16237.5</v>
      </c>
      <c r="D246" s="12">
        <v>1403047.5</v>
      </c>
      <c r="E246" s="13">
        <f>SUMIFS('Лист2'!C:C, 'Лист2'!A:A, A246, 'Лист2'!B:B, B246)</f>
        <v>15</v>
      </c>
      <c r="F246" s="13"/>
      <c r="G246" s="13"/>
      <c r="H246" s="2">
        <f t="shared" si="1"/>
        <v>93536.5</v>
      </c>
      <c r="I246" s="2">
        <f t="shared" si="2"/>
        <v>21</v>
      </c>
    </row>
    <row r="247" ht="14.25" customHeight="1">
      <c r="A247" s="14">
        <v>43968.0</v>
      </c>
      <c r="B247" s="15" t="s">
        <v>14</v>
      </c>
      <c r="C247" s="15">
        <v>11967.0</v>
      </c>
      <c r="D247" s="15">
        <v>1060489.5</v>
      </c>
      <c r="E247" s="13">
        <f>SUMIFS('Лист2'!C:C, 'Лист2'!A:A, A247, 'Лист2'!B:B, B247)</f>
        <v>15</v>
      </c>
      <c r="F247" s="13"/>
      <c r="G247" s="13"/>
      <c r="H247" s="2">
        <f t="shared" si="1"/>
        <v>70699.3</v>
      </c>
      <c r="I247" s="2">
        <f t="shared" si="2"/>
        <v>20</v>
      </c>
    </row>
    <row r="248" ht="14.25" customHeight="1">
      <c r="A248" s="11">
        <v>43960.0</v>
      </c>
      <c r="B248" s="12" t="s">
        <v>14</v>
      </c>
      <c r="C248" s="12">
        <v>12037.5</v>
      </c>
      <c r="D248" s="12">
        <v>1081216.5</v>
      </c>
      <c r="E248" s="13">
        <f>SUMIFS('Лист2'!C:C, 'Лист2'!A:A, A248, 'Лист2'!B:B, B248)</f>
        <v>15</v>
      </c>
      <c r="F248" s="13"/>
      <c r="G248" s="13"/>
      <c r="H248" s="2">
        <f t="shared" si="1"/>
        <v>72081.1</v>
      </c>
      <c r="I248" s="2">
        <f t="shared" si="2"/>
        <v>19</v>
      </c>
    </row>
    <row r="249" ht="14.25" customHeight="1">
      <c r="A249" s="14">
        <v>43955.0</v>
      </c>
      <c r="B249" s="15" t="s">
        <v>14</v>
      </c>
      <c r="C249" s="15">
        <v>7087.5</v>
      </c>
      <c r="D249" s="15">
        <v>610855.5</v>
      </c>
      <c r="E249" s="13">
        <f>SUMIFS('Лист2'!C:C, 'Лист2'!A:A, A249, 'Лист2'!B:B, B249)</f>
        <v>15</v>
      </c>
      <c r="F249" s="13"/>
      <c r="G249" s="13"/>
      <c r="H249" s="2">
        <f t="shared" si="1"/>
        <v>40723.7</v>
      </c>
      <c r="I249" s="2">
        <f t="shared" si="2"/>
        <v>19</v>
      </c>
    </row>
    <row r="250" ht="14.25" customHeight="1">
      <c r="A250" s="11">
        <v>43950.0</v>
      </c>
      <c r="B250" s="12" t="s">
        <v>8</v>
      </c>
      <c r="C250" s="12">
        <v>25816.5</v>
      </c>
      <c r="D250" s="12">
        <v>2360914.5</v>
      </c>
      <c r="E250" s="13">
        <f>SUMIFS('Лист2'!C:C, 'Лист2'!A:A, A250, 'Лист2'!B:B, B250)</f>
        <v>18</v>
      </c>
      <c r="F250" s="13"/>
      <c r="G250" s="13"/>
      <c r="H250" s="2">
        <f t="shared" si="1"/>
        <v>131161.9167</v>
      </c>
      <c r="I250" s="2">
        <f t="shared" si="2"/>
        <v>18</v>
      </c>
    </row>
    <row r="251" ht="14.25" customHeight="1">
      <c r="A251" s="14">
        <v>43953.0</v>
      </c>
      <c r="B251" s="15" t="s">
        <v>14</v>
      </c>
      <c r="C251" s="15">
        <v>4624.5</v>
      </c>
      <c r="D251" s="15">
        <v>433243.5</v>
      </c>
      <c r="E251" s="13">
        <f>SUMIFS('Лист2'!C:C, 'Лист2'!A:A, A251, 'Лист2'!B:B, B251)</f>
        <v>15</v>
      </c>
      <c r="F251" s="13"/>
      <c r="G251" s="13"/>
      <c r="H251" s="2">
        <f t="shared" si="1"/>
        <v>28882.9</v>
      </c>
      <c r="I251" s="2">
        <f t="shared" si="2"/>
        <v>18</v>
      </c>
    </row>
    <row r="252" ht="14.25" customHeight="1">
      <c r="A252" s="11">
        <v>43977.0</v>
      </c>
      <c r="B252" s="12" t="s">
        <v>14</v>
      </c>
      <c r="C252" s="12">
        <v>12259.5</v>
      </c>
      <c r="D252" s="12">
        <v>1152054.0</v>
      </c>
      <c r="E252" s="13">
        <f>SUMIFS('Лист2'!C:C, 'Лист2'!A:A, A252, 'Лист2'!B:B, B252)</f>
        <v>15</v>
      </c>
      <c r="F252" s="13"/>
      <c r="G252" s="13"/>
      <c r="H252" s="2">
        <f t="shared" si="1"/>
        <v>76803.6</v>
      </c>
      <c r="I252" s="2">
        <f t="shared" si="2"/>
        <v>22</v>
      </c>
    </row>
    <row r="253" ht="14.25" customHeight="1">
      <c r="A253" s="14">
        <v>43952.0</v>
      </c>
      <c r="B253" s="15" t="s">
        <v>14</v>
      </c>
      <c r="C253" s="15">
        <v>5446.5</v>
      </c>
      <c r="D253" s="15">
        <v>505572.0</v>
      </c>
      <c r="E253" s="13">
        <f>SUMIFS('Лист2'!C:C, 'Лист2'!A:A, A253, 'Лист2'!B:B, B253)</f>
        <v>15</v>
      </c>
      <c r="F253" s="13"/>
      <c r="G253" s="13"/>
      <c r="H253" s="2">
        <f t="shared" si="1"/>
        <v>33704.8</v>
      </c>
      <c r="I253" s="2">
        <f t="shared" si="2"/>
        <v>18</v>
      </c>
    </row>
    <row r="254" ht="14.25" customHeight="1">
      <c r="A254" s="11">
        <v>43963.0</v>
      </c>
      <c r="B254" s="12" t="s">
        <v>14</v>
      </c>
      <c r="C254" s="12">
        <v>11296.5</v>
      </c>
      <c r="D254" s="12">
        <v>989632.5</v>
      </c>
      <c r="E254" s="13">
        <f>SUMIFS('Лист2'!C:C, 'Лист2'!A:A, A254, 'Лист2'!B:B, B254)</f>
        <v>15</v>
      </c>
      <c r="F254" s="13"/>
      <c r="G254" s="13"/>
      <c r="H254" s="2">
        <f t="shared" si="1"/>
        <v>65975.5</v>
      </c>
      <c r="I254" s="2">
        <f t="shared" si="2"/>
        <v>20</v>
      </c>
    </row>
    <row r="255" ht="14.25" customHeight="1">
      <c r="A255" s="14">
        <v>43972.0</v>
      </c>
      <c r="B255" s="15" t="s">
        <v>14</v>
      </c>
      <c r="C255" s="15">
        <v>12135.0</v>
      </c>
      <c r="D255" s="15">
        <v>1103623.5</v>
      </c>
      <c r="E255" s="13">
        <f>SUMIFS('Лист2'!C:C, 'Лист2'!A:A, A255, 'Лист2'!B:B, B255)</f>
        <v>15</v>
      </c>
      <c r="F255" s="13"/>
      <c r="G255" s="13"/>
      <c r="H255" s="2">
        <f t="shared" si="1"/>
        <v>73574.9</v>
      </c>
      <c r="I255" s="2">
        <f t="shared" si="2"/>
        <v>21</v>
      </c>
    </row>
    <row r="256" ht="14.25" customHeight="1">
      <c r="A256" s="11">
        <v>43971.0</v>
      </c>
      <c r="B256" s="12" t="s">
        <v>14</v>
      </c>
      <c r="C256" s="12">
        <v>12630.0</v>
      </c>
      <c r="D256" s="12">
        <v>1104858.0</v>
      </c>
      <c r="E256" s="13">
        <f>SUMIFS('Лист2'!C:C, 'Лист2'!A:A, A256, 'Лист2'!B:B, B256)</f>
        <v>15</v>
      </c>
      <c r="F256" s="13"/>
      <c r="G256" s="13"/>
      <c r="H256" s="2">
        <f t="shared" si="1"/>
        <v>73657.2</v>
      </c>
      <c r="I256" s="2">
        <f t="shared" si="2"/>
        <v>21</v>
      </c>
    </row>
    <row r="257" ht="14.25" customHeight="1">
      <c r="A257" s="14">
        <v>43956.0</v>
      </c>
      <c r="B257" s="15" t="s">
        <v>14</v>
      </c>
      <c r="C257" s="15">
        <v>8223.0</v>
      </c>
      <c r="D257" s="15">
        <v>694593.0</v>
      </c>
      <c r="E257" s="13">
        <f>SUMIFS('Лист2'!C:C, 'Лист2'!A:A, A257, 'Лист2'!B:B, B257)</f>
        <v>15</v>
      </c>
      <c r="F257" s="13"/>
      <c r="G257" s="13"/>
      <c r="H257" s="2">
        <f t="shared" si="1"/>
        <v>46306.2</v>
      </c>
      <c r="I257" s="2">
        <f t="shared" si="2"/>
        <v>19</v>
      </c>
    </row>
    <row r="258" ht="14.25" customHeight="1">
      <c r="A258" s="11">
        <v>43949.0</v>
      </c>
      <c r="B258" s="12" t="s">
        <v>8</v>
      </c>
      <c r="C258" s="12">
        <v>25149.0</v>
      </c>
      <c r="D258" s="12">
        <v>2277072.0</v>
      </c>
      <c r="E258" s="13">
        <f>SUMIFS('Лист2'!C:C, 'Лист2'!A:A, A258, 'Лист2'!B:B, B258)</f>
        <v>18</v>
      </c>
      <c r="F258" s="13"/>
      <c r="G258" s="13"/>
      <c r="H258" s="2">
        <f t="shared" si="1"/>
        <v>126504</v>
      </c>
      <c r="I258" s="2">
        <f t="shared" si="2"/>
        <v>18</v>
      </c>
    </row>
    <row r="259" ht="14.25" customHeight="1">
      <c r="A259" s="14">
        <v>43964.0</v>
      </c>
      <c r="B259" s="15" t="s">
        <v>14</v>
      </c>
      <c r="C259" s="15">
        <v>10401.0</v>
      </c>
      <c r="D259" s="15">
        <v>949912.5</v>
      </c>
      <c r="E259" s="13">
        <f>SUMIFS('Лист2'!C:C, 'Лист2'!A:A, A259, 'Лист2'!B:B, B259)</f>
        <v>15</v>
      </c>
      <c r="F259" s="13"/>
      <c r="G259" s="13"/>
      <c r="H259" s="2">
        <f t="shared" si="1"/>
        <v>63327.5</v>
      </c>
      <c r="I259" s="2">
        <f t="shared" si="2"/>
        <v>20</v>
      </c>
    </row>
    <row r="260" ht="14.25" customHeight="1">
      <c r="A260" s="11">
        <v>43982.0</v>
      </c>
      <c r="B260" s="12" t="s">
        <v>13</v>
      </c>
      <c r="C260" s="12">
        <v>17689.5</v>
      </c>
      <c r="D260" s="12">
        <v>1592119.5</v>
      </c>
      <c r="E260" s="13">
        <f>SUMIFS('Лист2'!C:C, 'Лист2'!A:A, A260, 'Лист2'!B:B, B260)</f>
        <v>17</v>
      </c>
      <c r="F260" s="13"/>
      <c r="G260" s="13"/>
      <c r="H260" s="2">
        <f t="shared" si="1"/>
        <v>93654.08824</v>
      </c>
      <c r="I260" s="2">
        <f t="shared" si="2"/>
        <v>22</v>
      </c>
    </row>
    <row r="261" ht="14.25" customHeight="1">
      <c r="A261" s="14">
        <v>43954.0</v>
      </c>
      <c r="B261" s="15" t="s">
        <v>14</v>
      </c>
      <c r="C261" s="15">
        <v>8127.0</v>
      </c>
      <c r="D261" s="15">
        <v>665302.5</v>
      </c>
      <c r="E261" s="13">
        <f>SUMIFS('Лист2'!C:C, 'Лист2'!A:A, A261, 'Лист2'!B:B, B261)</f>
        <v>15</v>
      </c>
      <c r="F261" s="13"/>
      <c r="G261" s="13"/>
      <c r="H261" s="2">
        <f t="shared" si="1"/>
        <v>44353.5</v>
      </c>
      <c r="I261" s="2">
        <f t="shared" si="2"/>
        <v>18</v>
      </c>
    </row>
    <row r="262" ht="14.25" customHeight="1">
      <c r="A262" s="11">
        <v>43981.0</v>
      </c>
      <c r="B262" s="12" t="s">
        <v>13</v>
      </c>
      <c r="C262" s="12">
        <v>27250.5</v>
      </c>
      <c r="D262" s="12">
        <v>2457252.0</v>
      </c>
      <c r="E262" s="13">
        <f>SUMIFS('Лист2'!C:C, 'Лист2'!A:A, A262, 'Лист2'!B:B, B262)</f>
        <v>17</v>
      </c>
      <c r="F262" s="13"/>
      <c r="G262" s="13"/>
      <c r="H262" s="2">
        <f t="shared" si="1"/>
        <v>144544.2353</v>
      </c>
      <c r="I262" s="2">
        <f t="shared" si="2"/>
        <v>22</v>
      </c>
    </row>
    <row r="263" ht="14.25" customHeight="1">
      <c r="A263" s="14">
        <v>43957.0</v>
      </c>
      <c r="B263" s="15" t="s">
        <v>14</v>
      </c>
      <c r="C263" s="15">
        <v>8464.5</v>
      </c>
      <c r="D263" s="15">
        <v>739291.5</v>
      </c>
      <c r="E263" s="13">
        <f>SUMIFS('Лист2'!C:C, 'Лист2'!A:A, A263, 'Лист2'!B:B, B263)</f>
        <v>15</v>
      </c>
      <c r="F263" s="13"/>
      <c r="G263" s="13"/>
      <c r="H263" s="2">
        <f t="shared" si="1"/>
        <v>49286.1</v>
      </c>
      <c r="I263" s="2">
        <f t="shared" si="2"/>
        <v>19</v>
      </c>
    </row>
    <row r="264" ht="14.25" customHeight="1">
      <c r="A264" s="11">
        <v>43974.0</v>
      </c>
      <c r="B264" s="12" t="s">
        <v>14</v>
      </c>
      <c r="C264" s="12">
        <v>14167.5</v>
      </c>
      <c r="D264" s="12">
        <v>1315075.5</v>
      </c>
      <c r="E264" s="13">
        <f>SUMIFS('Лист2'!C:C, 'Лист2'!A:A, A264, 'Лист2'!B:B, B264)</f>
        <v>15</v>
      </c>
      <c r="F264" s="13"/>
      <c r="G264" s="13"/>
      <c r="H264" s="2">
        <f t="shared" si="1"/>
        <v>87671.7</v>
      </c>
      <c r="I264" s="2">
        <f t="shared" si="2"/>
        <v>21</v>
      </c>
    </row>
    <row r="265" ht="14.25" customHeight="1">
      <c r="A265" s="14">
        <v>43979.0</v>
      </c>
      <c r="B265" s="15" t="s">
        <v>13</v>
      </c>
      <c r="C265" s="15">
        <v>16500.0</v>
      </c>
      <c r="D265" s="15">
        <v>1487928.0</v>
      </c>
      <c r="E265" s="13">
        <f>SUMIFS('Лист2'!C:C, 'Лист2'!A:A, A265, 'Лист2'!B:B, B265)</f>
        <v>17</v>
      </c>
      <c r="F265" s="13"/>
      <c r="G265" s="13"/>
      <c r="H265" s="2">
        <f t="shared" si="1"/>
        <v>87525.17647</v>
      </c>
      <c r="I265" s="2">
        <f t="shared" si="2"/>
        <v>22</v>
      </c>
    </row>
    <row r="266" ht="14.25" customHeight="1">
      <c r="A266" s="11">
        <v>43976.0</v>
      </c>
      <c r="B266" s="12" t="s">
        <v>14</v>
      </c>
      <c r="C266" s="12">
        <v>13260.0</v>
      </c>
      <c r="D266" s="12">
        <v>1230687.0</v>
      </c>
      <c r="E266" s="13">
        <f>SUMIFS('Лист2'!C:C, 'Лист2'!A:A, A266, 'Лист2'!B:B, B266)</f>
        <v>15</v>
      </c>
      <c r="F266" s="13"/>
      <c r="G266" s="13"/>
      <c r="H266" s="2">
        <f t="shared" si="1"/>
        <v>82045.8</v>
      </c>
      <c r="I266" s="2">
        <f t="shared" si="2"/>
        <v>22</v>
      </c>
    </row>
    <row r="267" ht="14.25" customHeight="1">
      <c r="A267" s="14">
        <v>43951.0</v>
      </c>
      <c r="B267" s="15" t="s">
        <v>14</v>
      </c>
      <c r="C267" s="15">
        <v>4285.5</v>
      </c>
      <c r="D267" s="15">
        <v>404691.0</v>
      </c>
      <c r="E267" s="13">
        <f>SUMIFS('Лист2'!C:C, 'Лист2'!A:A, A267, 'Лист2'!B:B, B267)</f>
        <v>15</v>
      </c>
      <c r="F267" s="13"/>
      <c r="G267" s="13"/>
      <c r="H267" s="2">
        <f t="shared" si="1"/>
        <v>26979.4</v>
      </c>
      <c r="I267" s="2">
        <f t="shared" si="2"/>
        <v>18</v>
      </c>
    </row>
    <row r="268" ht="14.25" customHeight="1">
      <c r="A268" s="11">
        <v>43961.0</v>
      </c>
      <c r="B268" s="12" t="s">
        <v>14</v>
      </c>
      <c r="C268" s="12">
        <v>13440.0</v>
      </c>
      <c r="D268" s="12">
        <v>1198285.5</v>
      </c>
      <c r="E268" s="13">
        <f>SUMIFS('Лист2'!C:C, 'Лист2'!A:A, A268, 'Лист2'!B:B, B268)</f>
        <v>15</v>
      </c>
      <c r="F268" s="13"/>
      <c r="G268" s="13"/>
      <c r="H268" s="2">
        <f t="shared" si="1"/>
        <v>79885.7</v>
      </c>
      <c r="I268" s="2">
        <f t="shared" si="2"/>
        <v>19</v>
      </c>
    </row>
    <row r="269" ht="14.25" customHeight="1">
      <c r="A269" s="14">
        <v>43959.0</v>
      </c>
      <c r="B269" s="15" t="s">
        <v>14</v>
      </c>
      <c r="C269" s="15">
        <v>9058.5</v>
      </c>
      <c r="D269" s="15">
        <v>798759.0</v>
      </c>
      <c r="E269" s="13">
        <f>SUMIFS('Лист2'!C:C, 'Лист2'!A:A, A269, 'Лист2'!B:B, B269)</f>
        <v>15</v>
      </c>
      <c r="F269" s="13"/>
      <c r="G269" s="13"/>
      <c r="H269" s="2">
        <f t="shared" si="1"/>
        <v>53250.6</v>
      </c>
      <c r="I269" s="2">
        <f t="shared" si="2"/>
        <v>19</v>
      </c>
    </row>
    <row r="270" ht="14.25" customHeight="1">
      <c r="A270" s="11">
        <v>43958.0</v>
      </c>
      <c r="B270" s="12" t="s">
        <v>14</v>
      </c>
      <c r="C270" s="12">
        <v>8719.5</v>
      </c>
      <c r="D270" s="12">
        <v>769276.5</v>
      </c>
      <c r="E270" s="13">
        <f>SUMIFS('Лист2'!C:C, 'Лист2'!A:A, A270, 'Лист2'!B:B, B270)</f>
        <v>15</v>
      </c>
      <c r="F270" s="13"/>
      <c r="G270" s="13"/>
      <c r="H270" s="2">
        <f t="shared" si="1"/>
        <v>51285.1</v>
      </c>
      <c r="I270" s="2">
        <f t="shared" si="2"/>
        <v>19</v>
      </c>
    </row>
    <row r="271" ht="14.25" customHeight="1">
      <c r="A271" s="14">
        <v>43975.0</v>
      </c>
      <c r="B271" s="15" t="s">
        <v>14</v>
      </c>
      <c r="C271" s="15">
        <v>12666.0</v>
      </c>
      <c r="D271" s="15">
        <v>1184865.0</v>
      </c>
      <c r="E271" s="13">
        <f>SUMIFS('Лист2'!C:C, 'Лист2'!A:A, A271, 'Лист2'!B:B, B271)</f>
        <v>15</v>
      </c>
      <c r="F271" s="13"/>
      <c r="G271" s="13"/>
      <c r="H271" s="2">
        <f t="shared" si="1"/>
        <v>78991</v>
      </c>
      <c r="I271" s="2">
        <f t="shared" si="2"/>
        <v>21</v>
      </c>
    </row>
    <row r="272" ht="14.25" customHeight="1">
      <c r="A272" s="11">
        <v>43967.0</v>
      </c>
      <c r="B272" s="12" t="s">
        <v>8</v>
      </c>
      <c r="C272" s="12">
        <v>34563.0</v>
      </c>
      <c r="D272" s="12">
        <v>2922883.5</v>
      </c>
      <c r="E272" s="13">
        <f>SUMIFS('Лист2'!C:C, 'Лист2'!A:A, A272, 'Лист2'!B:B, B272)</f>
        <v>19</v>
      </c>
      <c r="F272" s="13"/>
      <c r="G272" s="13"/>
      <c r="H272" s="2">
        <f t="shared" si="1"/>
        <v>153835.9737</v>
      </c>
      <c r="I272" s="2">
        <f t="shared" si="2"/>
        <v>20</v>
      </c>
    </row>
    <row r="273" ht="14.25" customHeight="1">
      <c r="A273" s="14">
        <v>43970.0</v>
      </c>
      <c r="B273" s="15" t="s">
        <v>8</v>
      </c>
      <c r="C273" s="15">
        <v>28882.5</v>
      </c>
      <c r="D273" s="15">
        <v>2446530.0</v>
      </c>
      <c r="E273" s="13">
        <f>SUMIFS('Лист2'!C:C, 'Лист2'!A:A, A273, 'Лист2'!B:B, B273)</f>
        <v>19</v>
      </c>
      <c r="F273" s="13"/>
      <c r="G273" s="13"/>
      <c r="H273" s="2">
        <f t="shared" si="1"/>
        <v>128764.7368</v>
      </c>
      <c r="I273" s="2">
        <f t="shared" si="2"/>
        <v>21</v>
      </c>
    </row>
    <row r="274" ht="14.25" customHeight="1">
      <c r="A274" s="11">
        <v>43968.0</v>
      </c>
      <c r="B274" s="12" t="s">
        <v>8</v>
      </c>
      <c r="C274" s="12">
        <v>28275.0</v>
      </c>
      <c r="D274" s="12">
        <v>2435632.5</v>
      </c>
      <c r="E274" s="13">
        <f>SUMIFS('Лист2'!C:C, 'Лист2'!A:A, A274, 'Лист2'!B:B, B274)</f>
        <v>19</v>
      </c>
      <c r="F274" s="13"/>
      <c r="G274" s="13"/>
      <c r="H274" s="2">
        <f t="shared" si="1"/>
        <v>128191.1842</v>
      </c>
      <c r="I274" s="2">
        <f t="shared" si="2"/>
        <v>20</v>
      </c>
    </row>
    <row r="275" ht="14.25" customHeight="1">
      <c r="A275" s="14">
        <v>43960.0</v>
      </c>
      <c r="B275" s="15" t="s">
        <v>8</v>
      </c>
      <c r="C275" s="15">
        <v>26271.0</v>
      </c>
      <c r="D275" s="15">
        <v>2384937.0</v>
      </c>
      <c r="E275" s="13">
        <f>SUMIFS('Лист2'!C:C, 'Лист2'!A:A, A275, 'Лист2'!B:B, B275)</f>
        <v>19</v>
      </c>
      <c r="F275" s="13"/>
      <c r="G275" s="13"/>
      <c r="H275" s="2">
        <f t="shared" si="1"/>
        <v>125523</v>
      </c>
      <c r="I275" s="2">
        <f t="shared" si="2"/>
        <v>19</v>
      </c>
    </row>
    <row r="276" ht="14.25" customHeight="1">
      <c r="A276" s="11">
        <v>43955.0</v>
      </c>
      <c r="B276" s="12" t="s">
        <v>8</v>
      </c>
      <c r="C276" s="12">
        <v>23587.5</v>
      </c>
      <c r="D276" s="12">
        <v>2155668.0</v>
      </c>
      <c r="E276" s="13">
        <f>SUMIFS('Лист2'!C:C, 'Лист2'!A:A, A276, 'Лист2'!B:B, B276)</f>
        <v>19</v>
      </c>
      <c r="F276" s="13"/>
      <c r="G276" s="13"/>
      <c r="H276" s="2">
        <f t="shared" si="1"/>
        <v>113456.2105</v>
      </c>
      <c r="I276" s="2">
        <f t="shared" si="2"/>
        <v>19</v>
      </c>
    </row>
    <row r="277" ht="14.25" customHeight="1">
      <c r="A277" s="14">
        <v>43953.0</v>
      </c>
      <c r="B277" s="15" t="s">
        <v>8</v>
      </c>
      <c r="C277" s="15">
        <v>18427.5</v>
      </c>
      <c r="D277" s="15">
        <v>1682851.5</v>
      </c>
      <c r="E277" s="13">
        <f>SUMIFS('Лист2'!C:C, 'Лист2'!A:A, A277, 'Лист2'!B:B, B277)</f>
        <v>19</v>
      </c>
      <c r="F277" s="13"/>
      <c r="G277" s="13"/>
      <c r="H277" s="2">
        <f t="shared" si="1"/>
        <v>88571.13158</v>
      </c>
      <c r="I277" s="2">
        <f t="shared" si="2"/>
        <v>18</v>
      </c>
    </row>
    <row r="278" ht="14.25" customHeight="1">
      <c r="A278" s="11">
        <v>43977.0</v>
      </c>
      <c r="B278" s="12" t="s">
        <v>8</v>
      </c>
      <c r="C278" s="12">
        <v>27156.0</v>
      </c>
      <c r="D278" s="12">
        <v>2410803.0</v>
      </c>
      <c r="E278" s="13">
        <f>SUMIFS('Лист2'!C:C, 'Лист2'!A:A, A278, 'Лист2'!B:B, B278)</f>
        <v>20</v>
      </c>
      <c r="F278" s="13"/>
      <c r="G278" s="13"/>
      <c r="H278" s="2">
        <f t="shared" si="1"/>
        <v>120540.15</v>
      </c>
      <c r="I278" s="2">
        <f t="shared" si="2"/>
        <v>22</v>
      </c>
    </row>
    <row r="279" ht="14.25" customHeight="1">
      <c r="A279" s="14">
        <v>43952.0</v>
      </c>
      <c r="B279" s="15" t="s">
        <v>8</v>
      </c>
      <c r="C279" s="15">
        <v>35190.0</v>
      </c>
      <c r="D279" s="15">
        <v>3168510.0</v>
      </c>
      <c r="E279" s="13">
        <f>SUMIFS('Лист2'!C:C, 'Лист2'!A:A, A279, 'Лист2'!B:B, B279)</f>
        <v>19</v>
      </c>
      <c r="F279" s="13"/>
      <c r="G279" s="13"/>
      <c r="H279" s="2">
        <f t="shared" si="1"/>
        <v>166763.6842</v>
      </c>
      <c r="I279" s="2">
        <f t="shared" si="2"/>
        <v>18</v>
      </c>
    </row>
    <row r="280" ht="14.25" customHeight="1">
      <c r="A280" s="11">
        <v>43963.0</v>
      </c>
      <c r="B280" s="12" t="s">
        <v>8</v>
      </c>
      <c r="C280" s="12">
        <v>25483.5</v>
      </c>
      <c r="D280" s="12">
        <v>2243160.0</v>
      </c>
      <c r="E280" s="13">
        <f>SUMIFS('Лист2'!C:C, 'Лист2'!A:A, A280, 'Лист2'!B:B, B280)</f>
        <v>19</v>
      </c>
      <c r="F280" s="13"/>
      <c r="G280" s="13"/>
      <c r="H280" s="2">
        <f t="shared" si="1"/>
        <v>118061.0526</v>
      </c>
      <c r="I280" s="2">
        <f t="shared" si="2"/>
        <v>20</v>
      </c>
    </row>
    <row r="281" ht="14.25" customHeight="1">
      <c r="A281" s="14">
        <v>43972.0</v>
      </c>
      <c r="B281" s="15" t="s">
        <v>8</v>
      </c>
      <c r="C281" s="15">
        <v>25362.0</v>
      </c>
      <c r="D281" s="15">
        <v>2198935.5</v>
      </c>
      <c r="E281" s="13">
        <f>SUMIFS('Лист2'!C:C, 'Лист2'!A:A, A281, 'Лист2'!B:B, B281)</f>
        <v>19</v>
      </c>
      <c r="F281" s="13"/>
      <c r="G281" s="13"/>
      <c r="H281" s="2">
        <f t="shared" si="1"/>
        <v>115733.4474</v>
      </c>
      <c r="I281" s="2">
        <f t="shared" si="2"/>
        <v>21</v>
      </c>
    </row>
    <row r="282" ht="14.25" customHeight="1">
      <c r="A282" s="11">
        <v>43971.0</v>
      </c>
      <c r="B282" s="12" t="s">
        <v>8</v>
      </c>
      <c r="C282" s="12">
        <v>28849.5</v>
      </c>
      <c r="D282" s="12">
        <v>2520759.0</v>
      </c>
      <c r="E282" s="13">
        <f>SUMIFS('Лист2'!C:C, 'Лист2'!A:A, A282, 'Лист2'!B:B, B282)</f>
        <v>19</v>
      </c>
      <c r="F282" s="13"/>
      <c r="G282" s="13"/>
      <c r="H282" s="2">
        <f t="shared" si="1"/>
        <v>132671.5263</v>
      </c>
      <c r="I282" s="2">
        <f t="shared" si="2"/>
        <v>21</v>
      </c>
    </row>
    <row r="283" ht="14.25" customHeight="1">
      <c r="A283" s="14">
        <v>43956.0</v>
      </c>
      <c r="B283" s="15" t="s">
        <v>8</v>
      </c>
      <c r="C283" s="15">
        <v>26367.0</v>
      </c>
      <c r="D283" s="15">
        <v>2380333.5</v>
      </c>
      <c r="E283" s="13">
        <f>SUMIFS('Лист2'!C:C, 'Лист2'!A:A, A283, 'Лист2'!B:B, B283)</f>
        <v>19</v>
      </c>
      <c r="F283" s="13"/>
      <c r="G283" s="13"/>
      <c r="H283" s="2">
        <f t="shared" si="1"/>
        <v>125280.7105</v>
      </c>
      <c r="I283" s="2">
        <f t="shared" si="2"/>
        <v>19</v>
      </c>
    </row>
    <row r="284" ht="14.25" customHeight="1">
      <c r="A284" s="11">
        <v>43964.0</v>
      </c>
      <c r="B284" s="12" t="s">
        <v>8</v>
      </c>
      <c r="C284" s="12">
        <v>25539.0</v>
      </c>
      <c r="D284" s="12">
        <v>2263651.5</v>
      </c>
      <c r="E284" s="13">
        <f>SUMIFS('Лист2'!C:C, 'Лист2'!A:A, A284, 'Лист2'!B:B, B284)</f>
        <v>19</v>
      </c>
      <c r="F284" s="13"/>
      <c r="G284" s="13"/>
      <c r="H284" s="2">
        <f t="shared" si="1"/>
        <v>119139.5526</v>
      </c>
      <c r="I284" s="2">
        <f t="shared" si="2"/>
        <v>20</v>
      </c>
    </row>
    <row r="285" ht="14.25" customHeight="1">
      <c r="A285" s="14">
        <v>43982.0</v>
      </c>
      <c r="B285" s="15" t="s">
        <v>14</v>
      </c>
      <c r="C285" s="15">
        <v>14808.0</v>
      </c>
      <c r="D285" s="15">
        <v>1336789.5</v>
      </c>
      <c r="E285" s="13">
        <f>SUMIFS('Лист2'!C:C, 'Лист2'!A:A, A285, 'Лист2'!B:B, B285)</f>
        <v>16</v>
      </c>
      <c r="F285" s="13"/>
      <c r="G285" s="13"/>
      <c r="H285" s="2">
        <f t="shared" si="1"/>
        <v>83549.34375</v>
      </c>
      <c r="I285" s="2">
        <f t="shared" si="2"/>
        <v>22</v>
      </c>
    </row>
    <row r="286" ht="14.25" customHeight="1">
      <c r="A286" s="11">
        <v>43954.0</v>
      </c>
      <c r="B286" s="12" t="s">
        <v>8</v>
      </c>
      <c r="C286" s="12">
        <v>21343.5</v>
      </c>
      <c r="D286" s="12">
        <v>1906557.0</v>
      </c>
      <c r="E286" s="13">
        <f>SUMIFS('Лист2'!C:C, 'Лист2'!A:A, A286, 'Лист2'!B:B, B286)</f>
        <v>19</v>
      </c>
      <c r="F286" s="13"/>
      <c r="G286" s="13"/>
      <c r="H286" s="2">
        <f t="shared" si="1"/>
        <v>100345.1053</v>
      </c>
      <c r="I286" s="2">
        <f t="shared" si="2"/>
        <v>18</v>
      </c>
    </row>
    <row r="287" ht="14.25" customHeight="1">
      <c r="A287" s="14">
        <v>43981.0</v>
      </c>
      <c r="B287" s="15" t="s">
        <v>14</v>
      </c>
      <c r="C287" s="15">
        <v>17946.0</v>
      </c>
      <c r="D287" s="15">
        <v>1609090.5</v>
      </c>
      <c r="E287" s="13">
        <f>SUMIFS('Лист2'!C:C, 'Лист2'!A:A, A287, 'Лист2'!B:B, B287)</f>
        <v>16</v>
      </c>
      <c r="F287" s="13"/>
      <c r="G287" s="13"/>
      <c r="H287" s="2">
        <f t="shared" si="1"/>
        <v>100568.1563</v>
      </c>
      <c r="I287" s="2">
        <f t="shared" si="2"/>
        <v>22</v>
      </c>
    </row>
    <row r="288" ht="14.25" customHeight="1">
      <c r="A288" s="11">
        <v>43957.0</v>
      </c>
      <c r="B288" s="12" t="s">
        <v>8</v>
      </c>
      <c r="C288" s="12">
        <v>24337.5</v>
      </c>
      <c r="D288" s="12">
        <v>2159350.5</v>
      </c>
      <c r="E288" s="13">
        <f>SUMIFS('Лист2'!C:C, 'Лист2'!A:A, A288, 'Лист2'!B:B, B288)</f>
        <v>19</v>
      </c>
      <c r="F288" s="13"/>
      <c r="G288" s="13"/>
      <c r="H288" s="2">
        <f t="shared" si="1"/>
        <v>113650.0263</v>
      </c>
      <c r="I288" s="2">
        <f t="shared" si="2"/>
        <v>19</v>
      </c>
    </row>
    <row r="289" ht="14.25" customHeight="1">
      <c r="A289" s="14">
        <v>43974.0</v>
      </c>
      <c r="B289" s="15" t="s">
        <v>8</v>
      </c>
      <c r="C289" s="15">
        <v>36997.5</v>
      </c>
      <c r="D289" s="15">
        <v>3089140.5</v>
      </c>
      <c r="E289" s="13">
        <f>SUMIFS('Лист2'!C:C, 'Лист2'!A:A, A289, 'Лист2'!B:B, B289)</f>
        <v>19</v>
      </c>
      <c r="F289" s="13"/>
      <c r="G289" s="13"/>
      <c r="H289" s="2">
        <f t="shared" si="1"/>
        <v>162586.3421</v>
      </c>
      <c r="I289" s="2">
        <f t="shared" si="2"/>
        <v>21</v>
      </c>
    </row>
    <row r="290" ht="14.25" customHeight="1">
      <c r="A290" s="11">
        <v>43979.0</v>
      </c>
      <c r="B290" s="12" t="s">
        <v>14</v>
      </c>
      <c r="C290" s="12">
        <v>13864.5</v>
      </c>
      <c r="D290" s="12">
        <v>1239747.0</v>
      </c>
      <c r="E290" s="13">
        <f>SUMIFS('Лист2'!C:C, 'Лист2'!A:A, A290, 'Лист2'!B:B, B290)</f>
        <v>16</v>
      </c>
      <c r="F290" s="13"/>
      <c r="G290" s="13"/>
      <c r="H290" s="2">
        <f t="shared" si="1"/>
        <v>77484.1875</v>
      </c>
      <c r="I290" s="2">
        <f t="shared" si="2"/>
        <v>22</v>
      </c>
    </row>
    <row r="291" ht="14.25" customHeight="1">
      <c r="A291" s="14">
        <v>43976.0</v>
      </c>
      <c r="B291" s="15" t="s">
        <v>8</v>
      </c>
      <c r="C291" s="15">
        <v>28494.0</v>
      </c>
      <c r="D291" s="15">
        <v>2512803.0</v>
      </c>
      <c r="E291" s="13">
        <f>SUMIFS('Лист2'!C:C, 'Лист2'!A:A, A291, 'Лист2'!B:B, B291)</f>
        <v>20</v>
      </c>
      <c r="F291" s="13"/>
      <c r="G291" s="13"/>
      <c r="H291" s="2">
        <f t="shared" si="1"/>
        <v>125640.15</v>
      </c>
      <c r="I291" s="2">
        <f t="shared" si="2"/>
        <v>22</v>
      </c>
    </row>
    <row r="292" ht="14.25" customHeight="1">
      <c r="A292" s="11">
        <v>43951.0</v>
      </c>
      <c r="B292" s="12" t="s">
        <v>8</v>
      </c>
      <c r="C292" s="12">
        <v>27883.5</v>
      </c>
      <c r="D292" s="12">
        <v>2560080.0</v>
      </c>
      <c r="E292" s="13">
        <f>SUMIFS('Лист2'!C:C, 'Лист2'!A:A, A292, 'Лист2'!B:B, B292)</f>
        <v>19</v>
      </c>
      <c r="F292" s="13"/>
      <c r="G292" s="13"/>
      <c r="H292" s="2">
        <f t="shared" si="1"/>
        <v>134741.0526</v>
      </c>
      <c r="I292" s="2">
        <f t="shared" si="2"/>
        <v>18</v>
      </c>
    </row>
    <row r="293" ht="14.25" customHeight="1">
      <c r="A293" s="14">
        <v>43961.0</v>
      </c>
      <c r="B293" s="15" t="s">
        <v>8</v>
      </c>
      <c r="C293" s="15">
        <v>31224.0</v>
      </c>
      <c r="D293" s="15">
        <v>2767270.5</v>
      </c>
      <c r="E293" s="13">
        <f>SUMIFS('Лист2'!C:C, 'Лист2'!A:A, A293, 'Лист2'!B:B, B293)</f>
        <v>19</v>
      </c>
      <c r="F293" s="13"/>
      <c r="G293" s="13"/>
      <c r="H293" s="2">
        <f t="shared" si="1"/>
        <v>145645.8158</v>
      </c>
      <c r="I293" s="2">
        <f t="shared" si="2"/>
        <v>19</v>
      </c>
    </row>
    <row r="294" ht="14.25" customHeight="1">
      <c r="A294" s="11">
        <v>43959.0</v>
      </c>
      <c r="B294" s="12" t="s">
        <v>8</v>
      </c>
      <c r="C294" s="12">
        <v>25020.0</v>
      </c>
      <c r="D294" s="12">
        <v>2235960.0</v>
      </c>
      <c r="E294" s="13">
        <f>SUMIFS('Лист2'!C:C, 'Лист2'!A:A, A294, 'Лист2'!B:B, B294)</f>
        <v>19</v>
      </c>
      <c r="F294" s="13"/>
      <c r="G294" s="13"/>
      <c r="H294" s="2">
        <f t="shared" si="1"/>
        <v>117682.1053</v>
      </c>
      <c r="I294" s="2">
        <f t="shared" si="2"/>
        <v>19</v>
      </c>
    </row>
    <row r="295" ht="14.25" customHeight="1">
      <c r="A295" s="14">
        <v>43958.0</v>
      </c>
      <c r="B295" s="15" t="s">
        <v>8</v>
      </c>
      <c r="C295" s="15">
        <v>26184.0</v>
      </c>
      <c r="D295" s="15">
        <v>2308336.5</v>
      </c>
      <c r="E295" s="13">
        <f>SUMIFS('Лист2'!C:C, 'Лист2'!A:A, A295, 'Лист2'!B:B, B295)</f>
        <v>19</v>
      </c>
      <c r="F295" s="13"/>
      <c r="G295" s="13"/>
      <c r="H295" s="2">
        <f t="shared" si="1"/>
        <v>121491.3947</v>
      </c>
      <c r="I295" s="2">
        <f t="shared" si="2"/>
        <v>19</v>
      </c>
    </row>
    <row r="296" ht="14.25" customHeight="1">
      <c r="A296" s="11">
        <v>43975.0</v>
      </c>
      <c r="B296" s="12" t="s">
        <v>8</v>
      </c>
      <c r="C296" s="12">
        <v>29824.5</v>
      </c>
      <c r="D296" s="12">
        <v>2526909.0</v>
      </c>
      <c r="E296" s="13">
        <f>SUMIFS('Лист2'!C:C, 'Лист2'!A:A, A296, 'Лист2'!B:B, B296)</f>
        <v>19</v>
      </c>
      <c r="F296" s="13"/>
      <c r="G296" s="13"/>
      <c r="H296" s="2">
        <f t="shared" si="1"/>
        <v>132995.2105</v>
      </c>
      <c r="I296" s="2">
        <f t="shared" si="2"/>
        <v>21</v>
      </c>
    </row>
    <row r="297" ht="14.25" customHeight="1">
      <c r="A297" s="14">
        <v>43950.0</v>
      </c>
      <c r="B297" s="15" t="s">
        <v>10</v>
      </c>
      <c r="C297" s="15">
        <v>208351.5</v>
      </c>
      <c r="D297" s="15">
        <v>2.1615333E7</v>
      </c>
      <c r="E297" s="13">
        <f>SUMIFS('Лист2'!C:C, 'Лист2'!A:A, A297, 'Лист2'!B:B, B297)</f>
        <v>59</v>
      </c>
      <c r="F297" s="13"/>
      <c r="G297" s="13"/>
      <c r="H297" s="2">
        <f t="shared" si="1"/>
        <v>366361.5763</v>
      </c>
      <c r="I297" s="2">
        <f t="shared" si="2"/>
        <v>18</v>
      </c>
    </row>
    <row r="298" ht="14.25" customHeight="1">
      <c r="A298" s="11">
        <v>43949.0</v>
      </c>
      <c r="B298" s="12" t="s">
        <v>10</v>
      </c>
      <c r="C298" s="12">
        <v>204637.5</v>
      </c>
      <c r="D298" s="12">
        <v>2.11148985E7</v>
      </c>
      <c r="E298" s="13">
        <f>SUMIFS('Лист2'!C:C, 'Лист2'!A:A, A298, 'Лист2'!B:B, B298)</f>
        <v>59</v>
      </c>
      <c r="F298" s="13"/>
      <c r="G298" s="13"/>
      <c r="H298" s="2">
        <f t="shared" si="1"/>
        <v>357879.6356</v>
      </c>
      <c r="I298" s="2">
        <f t="shared" si="2"/>
        <v>18</v>
      </c>
    </row>
    <row r="299" ht="14.25" customHeight="1">
      <c r="A299" s="14">
        <v>43982.0</v>
      </c>
      <c r="B299" s="15" t="s">
        <v>8</v>
      </c>
      <c r="C299" s="15">
        <v>31372.5</v>
      </c>
      <c r="D299" s="15">
        <v>2794324.5</v>
      </c>
      <c r="E299" s="13">
        <f>SUMIFS('Лист2'!C:C, 'Лист2'!A:A, A299, 'Лист2'!B:B, B299)</f>
        <v>21</v>
      </c>
      <c r="F299" s="13"/>
      <c r="G299" s="13"/>
      <c r="H299" s="2">
        <f t="shared" si="1"/>
        <v>133063.0714</v>
      </c>
      <c r="I299" s="2">
        <f t="shared" si="2"/>
        <v>22</v>
      </c>
    </row>
    <row r="300" ht="14.25" customHeight="1">
      <c r="A300" s="11">
        <v>43981.0</v>
      </c>
      <c r="B300" s="12" t="s">
        <v>8</v>
      </c>
      <c r="C300" s="12">
        <v>34681.5</v>
      </c>
      <c r="D300" s="12">
        <v>3005334.0</v>
      </c>
      <c r="E300" s="13">
        <f>SUMIFS('Лист2'!C:C, 'Лист2'!A:A, A300, 'Лист2'!B:B, B300)</f>
        <v>20</v>
      </c>
      <c r="F300" s="13"/>
      <c r="G300" s="13"/>
      <c r="H300" s="2">
        <f t="shared" si="1"/>
        <v>150266.7</v>
      </c>
      <c r="I300" s="2">
        <f t="shared" si="2"/>
        <v>22</v>
      </c>
    </row>
    <row r="301" ht="14.25" customHeight="1">
      <c r="A301" s="14">
        <v>43979.0</v>
      </c>
      <c r="B301" s="15" t="s">
        <v>8</v>
      </c>
      <c r="C301" s="15">
        <v>28197.0</v>
      </c>
      <c r="D301" s="15">
        <v>2559211.5</v>
      </c>
      <c r="E301" s="13">
        <f>SUMIFS('Лист2'!C:C, 'Лист2'!A:A, A301, 'Лист2'!B:B, B301)</f>
        <v>20</v>
      </c>
      <c r="F301" s="13"/>
      <c r="G301" s="13"/>
      <c r="H301" s="2">
        <f t="shared" si="1"/>
        <v>127960.575</v>
      </c>
      <c r="I301" s="2">
        <f t="shared" si="2"/>
        <v>22</v>
      </c>
    </row>
    <row r="302" ht="14.25" customHeight="1">
      <c r="A302" s="11">
        <v>43967.0</v>
      </c>
      <c r="B302" s="12" t="s">
        <v>10</v>
      </c>
      <c r="C302" s="12">
        <v>236551.5</v>
      </c>
      <c r="D302" s="12">
        <v>2.3689383E7</v>
      </c>
      <c r="E302" s="13">
        <f>SUMIFS('Лист2'!C:C, 'Лист2'!A:A, A302, 'Лист2'!B:B, B302)</f>
        <v>60</v>
      </c>
      <c r="F302" s="13"/>
      <c r="G302" s="13"/>
      <c r="H302" s="2">
        <f t="shared" si="1"/>
        <v>394823.05</v>
      </c>
      <c r="I302" s="2">
        <f t="shared" si="2"/>
        <v>20</v>
      </c>
    </row>
    <row r="303" ht="14.25" customHeight="1">
      <c r="A303" s="14">
        <v>43970.0</v>
      </c>
      <c r="B303" s="15" t="s">
        <v>10</v>
      </c>
      <c r="C303" s="15">
        <v>223597.5</v>
      </c>
      <c r="D303" s="15">
        <v>2.1945858E7</v>
      </c>
      <c r="E303" s="13">
        <f>SUMIFS('Лист2'!C:C, 'Лист2'!A:A, A303, 'Лист2'!B:B, B303)</f>
        <v>60</v>
      </c>
      <c r="F303" s="13"/>
      <c r="G303" s="13"/>
      <c r="H303" s="2">
        <f t="shared" si="1"/>
        <v>365764.3</v>
      </c>
      <c r="I303" s="2">
        <f t="shared" si="2"/>
        <v>21</v>
      </c>
    </row>
    <row r="304" ht="14.25" customHeight="1">
      <c r="A304" s="11">
        <v>43968.0</v>
      </c>
      <c r="B304" s="12" t="s">
        <v>10</v>
      </c>
      <c r="C304" s="12">
        <v>193363.5</v>
      </c>
      <c r="D304" s="12">
        <v>1.9546386E7</v>
      </c>
      <c r="E304" s="13">
        <f>SUMIFS('Лист2'!C:C, 'Лист2'!A:A, A304, 'Лист2'!B:B, B304)</f>
        <v>60</v>
      </c>
      <c r="F304" s="13"/>
      <c r="G304" s="13"/>
      <c r="H304" s="2">
        <f t="shared" si="1"/>
        <v>325773.1</v>
      </c>
      <c r="I304" s="2">
        <f t="shared" si="2"/>
        <v>20</v>
      </c>
    </row>
    <row r="305" ht="14.25" customHeight="1">
      <c r="A305" s="14">
        <v>43960.0</v>
      </c>
      <c r="B305" s="15" t="s">
        <v>10</v>
      </c>
      <c r="C305" s="15">
        <v>188319.0</v>
      </c>
      <c r="D305" s="15">
        <v>1.92186315E7</v>
      </c>
      <c r="E305" s="13">
        <f>SUMIFS('Лист2'!C:C, 'Лист2'!A:A, A305, 'Лист2'!B:B, B305)</f>
        <v>59</v>
      </c>
      <c r="F305" s="13"/>
      <c r="G305" s="13"/>
      <c r="H305" s="2">
        <f t="shared" si="1"/>
        <v>325739.5169</v>
      </c>
      <c r="I305" s="2">
        <f t="shared" si="2"/>
        <v>19</v>
      </c>
    </row>
    <row r="306" ht="14.25" customHeight="1">
      <c r="A306" s="11">
        <v>43955.0</v>
      </c>
      <c r="B306" s="12" t="s">
        <v>10</v>
      </c>
      <c r="C306" s="12">
        <v>237544.5</v>
      </c>
      <c r="D306" s="12">
        <v>2.4292218E7</v>
      </c>
      <c r="E306" s="13">
        <f>SUMIFS('Лист2'!C:C, 'Лист2'!A:A, A306, 'Лист2'!B:B, B306)</f>
        <v>59</v>
      </c>
      <c r="F306" s="13"/>
      <c r="G306" s="13"/>
      <c r="H306" s="2">
        <f t="shared" si="1"/>
        <v>411732.5085</v>
      </c>
      <c r="I306" s="2">
        <f t="shared" si="2"/>
        <v>19</v>
      </c>
    </row>
    <row r="307" ht="14.25" customHeight="1">
      <c r="A307" s="14">
        <v>43950.0</v>
      </c>
      <c r="B307" s="15" t="s">
        <v>9</v>
      </c>
      <c r="C307" s="15">
        <v>203209.5</v>
      </c>
      <c r="D307" s="15">
        <v>2.08713915E7</v>
      </c>
      <c r="E307" s="13">
        <f>SUMIFS('Лист2'!C:C, 'Лист2'!A:A, A307, 'Лист2'!B:B, B307)</f>
        <v>54</v>
      </c>
      <c r="F307" s="13"/>
      <c r="G307" s="13"/>
      <c r="H307" s="2">
        <f t="shared" si="1"/>
        <v>386507.25</v>
      </c>
      <c r="I307" s="2">
        <f t="shared" si="2"/>
        <v>18</v>
      </c>
    </row>
    <row r="308" ht="14.25" customHeight="1">
      <c r="A308" s="11">
        <v>43953.0</v>
      </c>
      <c r="B308" s="12" t="s">
        <v>10</v>
      </c>
      <c r="C308" s="12">
        <v>185979.0</v>
      </c>
      <c r="D308" s="12">
        <v>1.9625364E7</v>
      </c>
      <c r="E308" s="13">
        <f>SUMIFS('Лист2'!C:C, 'Лист2'!A:A, A308, 'Лист2'!B:B, B308)</f>
        <v>59</v>
      </c>
      <c r="F308" s="13"/>
      <c r="G308" s="13"/>
      <c r="H308" s="2">
        <f t="shared" si="1"/>
        <v>332633.2881</v>
      </c>
      <c r="I308" s="2">
        <f t="shared" si="2"/>
        <v>18</v>
      </c>
    </row>
    <row r="309" ht="14.25" customHeight="1">
      <c r="A309" s="14">
        <v>43977.0</v>
      </c>
      <c r="B309" s="15" t="s">
        <v>10</v>
      </c>
      <c r="C309" s="15">
        <v>244905.0</v>
      </c>
      <c r="D309" s="15">
        <v>2.51634315E7</v>
      </c>
      <c r="E309" s="13">
        <f>SUMIFS('Лист2'!C:C, 'Лист2'!A:A, A309, 'Лист2'!B:B, B309)</f>
        <v>59</v>
      </c>
      <c r="F309" s="13"/>
      <c r="G309" s="13"/>
      <c r="H309" s="2">
        <f t="shared" si="1"/>
        <v>426498.839</v>
      </c>
      <c r="I309" s="2">
        <f t="shared" si="2"/>
        <v>22</v>
      </c>
    </row>
    <row r="310" ht="14.25" customHeight="1">
      <c r="A310" s="11">
        <v>43952.0</v>
      </c>
      <c r="B310" s="12" t="s">
        <v>10</v>
      </c>
      <c r="C310" s="12">
        <v>239409.0</v>
      </c>
      <c r="D310" s="12">
        <v>2.5413351E7</v>
      </c>
      <c r="E310" s="13">
        <f>SUMIFS('Лист2'!C:C, 'Лист2'!A:A, A310, 'Лист2'!B:B, B310)</f>
        <v>59</v>
      </c>
      <c r="F310" s="13"/>
      <c r="G310" s="13"/>
      <c r="H310" s="2">
        <f t="shared" si="1"/>
        <v>430734.7627</v>
      </c>
      <c r="I310" s="2">
        <f t="shared" si="2"/>
        <v>18</v>
      </c>
    </row>
    <row r="311" ht="14.25" customHeight="1">
      <c r="A311" s="14">
        <v>43963.0</v>
      </c>
      <c r="B311" s="15" t="s">
        <v>10</v>
      </c>
      <c r="C311" s="15">
        <v>192886.5</v>
      </c>
      <c r="D311" s="15">
        <v>1.92051795E7</v>
      </c>
      <c r="E311" s="13">
        <f>SUMIFS('Лист2'!C:C, 'Лист2'!A:A, A311, 'Лист2'!B:B, B311)</f>
        <v>60</v>
      </c>
      <c r="F311" s="13"/>
      <c r="G311" s="13"/>
      <c r="H311" s="2">
        <f t="shared" si="1"/>
        <v>320086.325</v>
      </c>
      <c r="I311" s="2">
        <f t="shared" si="2"/>
        <v>20</v>
      </c>
    </row>
    <row r="312" ht="14.25" customHeight="1">
      <c r="A312" s="11">
        <v>43972.0</v>
      </c>
      <c r="B312" s="12" t="s">
        <v>10</v>
      </c>
      <c r="C312" s="12">
        <v>224233.5</v>
      </c>
      <c r="D312" s="12">
        <v>2.2253295E7</v>
      </c>
      <c r="E312" s="13">
        <f>SUMIFS('Лист2'!C:C, 'Лист2'!A:A, A312, 'Лист2'!B:B, B312)</f>
        <v>60</v>
      </c>
      <c r="F312" s="13"/>
      <c r="G312" s="13"/>
      <c r="H312" s="2">
        <f t="shared" si="1"/>
        <v>370888.25</v>
      </c>
      <c r="I312" s="2">
        <f t="shared" si="2"/>
        <v>21</v>
      </c>
    </row>
    <row r="313" ht="14.25" customHeight="1">
      <c r="A313" s="14">
        <v>43971.0</v>
      </c>
      <c r="B313" s="15" t="s">
        <v>10</v>
      </c>
      <c r="C313" s="15">
        <v>219622.5</v>
      </c>
      <c r="D313" s="15">
        <v>2.1959286E7</v>
      </c>
      <c r="E313" s="13">
        <f>SUMIFS('Лист2'!C:C, 'Лист2'!A:A, A313, 'Лист2'!B:B, B313)</f>
        <v>60</v>
      </c>
      <c r="F313" s="13"/>
      <c r="G313" s="13"/>
      <c r="H313" s="2">
        <f t="shared" si="1"/>
        <v>365988.1</v>
      </c>
      <c r="I313" s="2">
        <f t="shared" si="2"/>
        <v>21</v>
      </c>
    </row>
    <row r="314" ht="14.25" customHeight="1">
      <c r="A314" s="11">
        <v>43956.0</v>
      </c>
      <c r="B314" s="12" t="s">
        <v>10</v>
      </c>
      <c r="C314" s="12">
        <v>213582.0</v>
      </c>
      <c r="D314" s="12">
        <v>2.19194355E7</v>
      </c>
      <c r="E314" s="13">
        <f>SUMIFS('Лист2'!C:C, 'Лист2'!A:A, A314, 'Лист2'!B:B, B314)</f>
        <v>59</v>
      </c>
      <c r="F314" s="13"/>
      <c r="G314" s="13"/>
      <c r="H314" s="2">
        <f t="shared" si="1"/>
        <v>371515.8559</v>
      </c>
      <c r="I314" s="2">
        <f t="shared" si="2"/>
        <v>19</v>
      </c>
    </row>
    <row r="315" ht="14.25" customHeight="1">
      <c r="A315" s="14">
        <v>43949.0</v>
      </c>
      <c r="B315" s="15" t="s">
        <v>9</v>
      </c>
      <c r="C315" s="15">
        <v>195705.0</v>
      </c>
      <c r="D315" s="15">
        <v>2.00032635E7</v>
      </c>
      <c r="E315" s="13">
        <f>SUMIFS('Лист2'!C:C, 'Лист2'!A:A, A315, 'Лист2'!B:B, B315)</f>
        <v>54</v>
      </c>
      <c r="F315" s="13"/>
      <c r="G315" s="13"/>
      <c r="H315" s="2">
        <f t="shared" si="1"/>
        <v>370430.8056</v>
      </c>
      <c r="I315" s="2">
        <f t="shared" si="2"/>
        <v>18</v>
      </c>
    </row>
    <row r="316" ht="14.25" customHeight="1">
      <c r="A316" s="11">
        <v>43964.0</v>
      </c>
      <c r="B316" s="12" t="s">
        <v>10</v>
      </c>
      <c r="C316" s="12">
        <v>193722.0</v>
      </c>
      <c r="D316" s="12">
        <v>1.9437273E7</v>
      </c>
      <c r="E316" s="13">
        <f>SUMIFS('Лист2'!C:C, 'Лист2'!A:A, A316, 'Лист2'!B:B, B316)</f>
        <v>60</v>
      </c>
      <c r="F316" s="13"/>
      <c r="G316" s="13"/>
      <c r="H316" s="2">
        <f t="shared" si="1"/>
        <v>323954.55</v>
      </c>
      <c r="I316" s="2">
        <f t="shared" si="2"/>
        <v>20</v>
      </c>
    </row>
    <row r="317" ht="14.25" customHeight="1">
      <c r="A317" s="14">
        <v>43954.0</v>
      </c>
      <c r="B317" s="15" t="s">
        <v>10</v>
      </c>
      <c r="C317" s="15">
        <v>257215.5</v>
      </c>
      <c r="D317" s="15">
        <v>2.64922785E7</v>
      </c>
      <c r="E317" s="13">
        <f>SUMIFS('Лист2'!C:C, 'Лист2'!A:A, A317, 'Лист2'!B:B, B317)</f>
        <v>59</v>
      </c>
      <c r="F317" s="13"/>
      <c r="G317" s="13"/>
      <c r="H317" s="2">
        <f t="shared" si="1"/>
        <v>449021.6695</v>
      </c>
      <c r="I317" s="2">
        <f t="shared" si="2"/>
        <v>18</v>
      </c>
    </row>
    <row r="318" ht="14.25" customHeight="1">
      <c r="A318" s="11">
        <v>43957.0</v>
      </c>
      <c r="B318" s="12" t="s">
        <v>10</v>
      </c>
      <c r="C318" s="12">
        <v>224779.5</v>
      </c>
      <c r="D318" s="12">
        <v>2.3032992E7</v>
      </c>
      <c r="E318" s="13">
        <f>SUMIFS('Лист2'!C:C, 'Лист2'!A:A, A318, 'Лист2'!B:B, B318)</f>
        <v>59</v>
      </c>
      <c r="F318" s="13"/>
      <c r="G318" s="13"/>
      <c r="H318" s="2">
        <f t="shared" si="1"/>
        <v>390389.6949</v>
      </c>
      <c r="I318" s="2">
        <f t="shared" si="2"/>
        <v>19</v>
      </c>
    </row>
    <row r="319" ht="14.25" customHeight="1">
      <c r="A319" s="14">
        <v>43974.0</v>
      </c>
      <c r="B319" s="15" t="s">
        <v>10</v>
      </c>
      <c r="C319" s="15">
        <v>292018.5</v>
      </c>
      <c r="D319" s="15">
        <v>2.85909105E7</v>
      </c>
      <c r="E319" s="13">
        <f>SUMIFS('Лист2'!C:C, 'Лист2'!A:A, A319, 'Лист2'!B:B, B319)</f>
        <v>60</v>
      </c>
      <c r="F319" s="13"/>
      <c r="G319" s="13"/>
      <c r="H319" s="2">
        <f t="shared" si="1"/>
        <v>476515.175</v>
      </c>
      <c r="I319" s="2">
        <f t="shared" si="2"/>
        <v>21</v>
      </c>
    </row>
    <row r="320" ht="14.25" customHeight="1">
      <c r="A320" s="11">
        <v>43976.0</v>
      </c>
      <c r="B320" s="12" t="s">
        <v>10</v>
      </c>
      <c r="C320" s="12">
        <v>198751.5</v>
      </c>
      <c r="D320" s="12">
        <v>2.05827435E7</v>
      </c>
      <c r="E320" s="13">
        <f>SUMIFS('Лист2'!C:C, 'Лист2'!A:A, A320, 'Лист2'!B:B, B320)</f>
        <v>59</v>
      </c>
      <c r="F320" s="13"/>
      <c r="G320" s="13"/>
      <c r="H320" s="2">
        <f t="shared" si="1"/>
        <v>348860.0593</v>
      </c>
      <c r="I320" s="2">
        <f t="shared" si="2"/>
        <v>22</v>
      </c>
    </row>
    <row r="321" ht="14.25" customHeight="1">
      <c r="A321" s="14">
        <v>43951.0</v>
      </c>
      <c r="B321" s="15" t="s">
        <v>10</v>
      </c>
      <c r="C321" s="15">
        <v>214386.0</v>
      </c>
      <c r="D321" s="15">
        <v>2.253E7</v>
      </c>
      <c r="E321" s="13">
        <f>SUMIFS('Лист2'!C:C, 'Лист2'!A:A, A321, 'Лист2'!B:B, B321)</f>
        <v>59</v>
      </c>
      <c r="F321" s="13"/>
      <c r="G321" s="13"/>
      <c r="H321" s="2">
        <f t="shared" si="1"/>
        <v>381864.4068</v>
      </c>
      <c r="I321" s="2">
        <f t="shared" si="2"/>
        <v>18</v>
      </c>
    </row>
    <row r="322" ht="14.25" customHeight="1">
      <c r="A322" s="11">
        <v>43961.0</v>
      </c>
      <c r="B322" s="12" t="s">
        <v>10</v>
      </c>
      <c r="C322" s="12">
        <v>243825.0</v>
      </c>
      <c r="D322" s="12">
        <v>2.48904045E7</v>
      </c>
      <c r="E322" s="13">
        <f>SUMIFS('Лист2'!C:C, 'Лист2'!A:A, A322, 'Лист2'!B:B, B322)</f>
        <v>59</v>
      </c>
      <c r="F322" s="13"/>
      <c r="G322" s="13"/>
      <c r="H322" s="2">
        <f t="shared" si="1"/>
        <v>421871.2627</v>
      </c>
      <c r="I322" s="2">
        <f t="shared" si="2"/>
        <v>19</v>
      </c>
    </row>
    <row r="323" ht="14.25" customHeight="1">
      <c r="A323" s="14">
        <v>43959.0</v>
      </c>
      <c r="B323" s="15" t="s">
        <v>10</v>
      </c>
      <c r="C323" s="15">
        <v>232701.0</v>
      </c>
      <c r="D323" s="15">
        <v>2.38819485E7</v>
      </c>
      <c r="E323" s="13">
        <f>SUMIFS('Лист2'!C:C, 'Лист2'!A:A, A323, 'Лист2'!B:B, B323)</f>
        <v>59</v>
      </c>
      <c r="F323" s="13"/>
      <c r="G323" s="13"/>
      <c r="H323" s="2">
        <f t="shared" si="1"/>
        <v>404778.7881</v>
      </c>
      <c r="I323" s="2">
        <f t="shared" si="2"/>
        <v>19</v>
      </c>
    </row>
    <row r="324" ht="14.25" customHeight="1">
      <c r="A324" s="11">
        <v>43958.0</v>
      </c>
      <c r="B324" s="12" t="s">
        <v>10</v>
      </c>
      <c r="C324" s="12">
        <v>219411.0</v>
      </c>
      <c r="D324" s="12">
        <v>2.246013E7</v>
      </c>
      <c r="E324" s="13">
        <f>SUMIFS('Лист2'!C:C, 'Лист2'!A:A, A324, 'Лист2'!B:B, B324)</f>
        <v>59</v>
      </c>
      <c r="F324" s="13"/>
      <c r="G324" s="13"/>
      <c r="H324" s="2">
        <f t="shared" si="1"/>
        <v>380680.1695</v>
      </c>
      <c r="I324" s="2">
        <f t="shared" si="2"/>
        <v>19</v>
      </c>
    </row>
    <row r="325" ht="14.25" customHeight="1">
      <c r="A325" s="14">
        <v>43975.0</v>
      </c>
      <c r="B325" s="15" t="s">
        <v>10</v>
      </c>
      <c r="C325" s="15">
        <v>200029.5</v>
      </c>
      <c r="D325" s="15">
        <v>1.9959801E7</v>
      </c>
      <c r="E325" s="13">
        <f>SUMIFS('Лист2'!C:C, 'Лист2'!A:A, A325, 'Лист2'!B:B, B325)</f>
        <v>60</v>
      </c>
      <c r="F325" s="13"/>
      <c r="G325" s="13"/>
      <c r="H325" s="2">
        <f t="shared" si="1"/>
        <v>332663.35</v>
      </c>
      <c r="I325" s="2">
        <f t="shared" si="2"/>
        <v>21</v>
      </c>
    </row>
    <row r="326" ht="14.25" customHeight="1">
      <c r="A326" s="11">
        <v>43967.0</v>
      </c>
      <c r="B326" s="12" t="s">
        <v>9</v>
      </c>
      <c r="C326" s="12">
        <v>225480.0</v>
      </c>
      <c r="D326" s="12">
        <v>2.23553385E7</v>
      </c>
      <c r="E326" s="13">
        <f>SUMIFS('Лист2'!C:C, 'Лист2'!A:A, A326, 'Лист2'!B:B, B326)</f>
        <v>54</v>
      </c>
      <c r="F326" s="13"/>
      <c r="G326" s="13"/>
      <c r="H326" s="2">
        <f t="shared" si="1"/>
        <v>413987.75</v>
      </c>
      <c r="I326" s="2">
        <f t="shared" si="2"/>
        <v>20</v>
      </c>
    </row>
    <row r="327" ht="14.25" customHeight="1">
      <c r="A327" s="14">
        <v>43970.0</v>
      </c>
      <c r="B327" s="15" t="s">
        <v>9</v>
      </c>
      <c r="C327" s="15">
        <v>211453.5</v>
      </c>
      <c r="D327" s="15">
        <v>2.05900725E7</v>
      </c>
      <c r="E327" s="13">
        <f>SUMIFS('Лист2'!C:C, 'Лист2'!A:A, A327, 'Лист2'!B:B, B327)</f>
        <v>54</v>
      </c>
      <c r="F327" s="13"/>
      <c r="G327" s="13"/>
      <c r="H327" s="2">
        <f t="shared" si="1"/>
        <v>381297.6389</v>
      </c>
      <c r="I327" s="2">
        <f t="shared" si="2"/>
        <v>21</v>
      </c>
    </row>
    <row r="328" ht="14.25" customHeight="1">
      <c r="A328" s="11">
        <v>43968.0</v>
      </c>
      <c r="B328" s="12" t="s">
        <v>9</v>
      </c>
      <c r="C328" s="12">
        <v>184801.5</v>
      </c>
      <c r="D328" s="12">
        <v>1.8449091E7</v>
      </c>
      <c r="E328" s="13">
        <f>SUMIFS('Лист2'!C:C, 'Лист2'!A:A, A328, 'Лист2'!B:B, B328)</f>
        <v>54</v>
      </c>
      <c r="F328" s="13"/>
      <c r="G328" s="13"/>
      <c r="H328" s="2">
        <f t="shared" si="1"/>
        <v>341649.8333</v>
      </c>
      <c r="I328" s="2">
        <f t="shared" si="2"/>
        <v>20</v>
      </c>
    </row>
    <row r="329" ht="14.25" customHeight="1">
      <c r="A329" s="14">
        <v>43960.0</v>
      </c>
      <c r="B329" s="15" t="s">
        <v>9</v>
      </c>
      <c r="C329" s="15">
        <v>177976.5</v>
      </c>
      <c r="D329" s="15">
        <v>1.80857985E7</v>
      </c>
      <c r="E329" s="13">
        <f>SUMIFS('Лист2'!C:C, 'Лист2'!A:A, A329, 'Лист2'!B:B, B329)</f>
        <v>54</v>
      </c>
      <c r="F329" s="13"/>
      <c r="G329" s="13"/>
      <c r="H329" s="2">
        <f t="shared" si="1"/>
        <v>334922.1944</v>
      </c>
      <c r="I329" s="2">
        <f t="shared" si="2"/>
        <v>19</v>
      </c>
    </row>
    <row r="330" ht="14.25" customHeight="1">
      <c r="A330" s="11">
        <v>43955.0</v>
      </c>
      <c r="B330" s="12" t="s">
        <v>9</v>
      </c>
      <c r="C330" s="12">
        <v>223617.0</v>
      </c>
      <c r="D330" s="12">
        <v>2.27968275E7</v>
      </c>
      <c r="E330" s="13">
        <f>SUMIFS('Лист2'!C:C, 'Лист2'!A:A, A330, 'Лист2'!B:B, B330)</f>
        <v>54</v>
      </c>
      <c r="F330" s="13"/>
      <c r="G330" s="13"/>
      <c r="H330" s="2">
        <f t="shared" si="1"/>
        <v>422163.4722</v>
      </c>
      <c r="I330" s="2">
        <f t="shared" si="2"/>
        <v>19</v>
      </c>
    </row>
    <row r="331" ht="14.25" customHeight="1">
      <c r="A331" s="14">
        <v>43953.0</v>
      </c>
      <c r="B331" s="15" t="s">
        <v>9</v>
      </c>
      <c r="C331" s="15">
        <v>176397.0</v>
      </c>
      <c r="D331" s="15">
        <v>1.86259215E7</v>
      </c>
      <c r="E331" s="13">
        <f>SUMIFS('Лист2'!C:C, 'Лист2'!A:A, A331, 'Лист2'!B:B, B331)</f>
        <v>54</v>
      </c>
      <c r="F331" s="13"/>
      <c r="G331" s="13"/>
      <c r="H331" s="2">
        <f t="shared" si="1"/>
        <v>344924.4722</v>
      </c>
      <c r="I331" s="2">
        <f t="shared" si="2"/>
        <v>18</v>
      </c>
    </row>
    <row r="332" ht="14.25" customHeight="1">
      <c r="A332" s="11">
        <v>43977.0</v>
      </c>
      <c r="B332" s="12" t="s">
        <v>9</v>
      </c>
      <c r="C332" s="12">
        <v>232369.5</v>
      </c>
      <c r="D332" s="12">
        <v>2.3856345E7</v>
      </c>
      <c r="E332" s="13">
        <f>SUMIFS('Лист2'!C:C, 'Лист2'!A:A, A332, 'Лист2'!B:B, B332)</f>
        <v>54</v>
      </c>
      <c r="F332" s="13"/>
      <c r="G332" s="13"/>
      <c r="H332" s="2">
        <f t="shared" si="1"/>
        <v>441784.1667</v>
      </c>
      <c r="I332" s="2">
        <f t="shared" si="2"/>
        <v>22</v>
      </c>
    </row>
    <row r="333" ht="14.25" customHeight="1">
      <c r="A333" s="14">
        <v>43952.0</v>
      </c>
      <c r="B333" s="15" t="s">
        <v>9</v>
      </c>
      <c r="C333" s="15">
        <v>226540.5</v>
      </c>
      <c r="D333" s="15">
        <v>2.3953536E7</v>
      </c>
      <c r="E333" s="13">
        <f>SUMIFS('Лист2'!C:C, 'Лист2'!A:A, A333, 'Лист2'!B:B, B333)</f>
        <v>54</v>
      </c>
      <c r="F333" s="13"/>
      <c r="G333" s="13"/>
      <c r="H333" s="2">
        <f t="shared" si="1"/>
        <v>443584</v>
      </c>
      <c r="I333" s="2">
        <f t="shared" si="2"/>
        <v>18</v>
      </c>
    </row>
    <row r="334" ht="14.25" customHeight="1">
      <c r="A334" s="11">
        <v>43963.0</v>
      </c>
      <c r="B334" s="12" t="s">
        <v>9</v>
      </c>
      <c r="C334" s="12">
        <v>189679.5</v>
      </c>
      <c r="D334" s="12">
        <v>1.87180365E7</v>
      </c>
      <c r="E334" s="13">
        <f>SUMIFS('Лист2'!C:C, 'Лист2'!A:A, A334, 'Лист2'!B:B, B334)</f>
        <v>54</v>
      </c>
      <c r="F334" s="13"/>
      <c r="G334" s="13"/>
      <c r="H334" s="2">
        <f t="shared" si="1"/>
        <v>346630.3056</v>
      </c>
      <c r="I334" s="2">
        <f t="shared" si="2"/>
        <v>20</v>
      </c>
    </row>
    <row r="335" ht="14.25" customHeight="1">
      <c r="A335" s="14">
        <v>43972.0</v>
      </c>
      <c r="B335" s="15" t="s">
        <v>9</v>
      </c>
      <c r="C335" s="15">
        <v>213640.5</v>
      </c>
      <c r="D335" s="15">
        <v>2.10426735E7</v>
      </c>
      <c r="E335" s="13">
        <f>SUMIFS('Лист2'!C:C, 'Лист2'!A:A, A335, 'Лист2'!B:B, B335)</f>
        <v>54</v>
      </c>
      <c r="F335" s="13"/>
      <c r="G335" s="13"/>
      <c r="H335" s="2">
        <f t="shared" si="1"/>
        <v>389679.1389</v>
      </c>
      <c r="I335" s="2">
        <f t="shared" si="2"/>
        <v>21</v>
      </c>
    </row>
    <row r="336" ht="14.25" customHeight="1">
      <c r="A336" s="11">
        <v>43971.0</v>
      </c>
      <c r="B336" s="12" t="s">
        <v>9</v>
      </c>
      <c r="C336" s="12">
        <v>214885.5</v>
      </c>
      <c r="D336" s="12">
        <v>2.14113495E7</v>
      </c>
      <c r="E336" s="13">
        <f>SUMIFS('Лист2'!C:C, 'Лист2'!A:A, A336, 'Лист2'!B:B, B336)</f>
        <v>54</v>
      </c>
      <c r="F336" s="13"/>
      <c r="G336" s="13"/>
      <c r="H336" s="2">
        <f t="shared" si="1"/>
        <v>396506.4722</v>
      </c>
      <c r="I336" s="2">
        <f t="shared" si="2"/>
        <v>21</v>
      </c>
    </row>
    <row r="337" ht="14.25" customHeight="1">
      <c r="A337" s="14">
        <v>43956.0</v>
      </c>
      <c r="B337" s="15" t="s">
        <v>9</v>
      </c>
      <c r="C337" s="15">
        <v>203832.0</v>
      </c>
      <c r="D337" s="15">
        <v>2.08801425E7</v>
      </c>
      <c r="E337" s="13">
        <f>SUMIFS('Лист2'!C:C, 'Лист2'!A:A, A337, 'Лист2'!B:B, B337)</f>
        <v>54</v>
      </c>
      <c r="F337" s="13"/>
      <c r="G337" s="13"/>
      <c r="H337" s="2">
        <f t="shared" si="1"/>
        <v>386669.3056</v>
      </c>
      <c r="I337" s="2">
        <f t="shared" si="2"/>
        <v>19</v>
      </c>
    </row>
    <row r="338" ht="14.25" customHeight="1">
      <c r="A338" s="11">
        <v>43964.0</v>
      </c>
      <c r="B338" s="12" t="s">
        <v>9</v>
      </c>
      <c r="C338" s="12">
        <v>188662.5</v>
      </c>
      <c r="D338" s="12">
        <v>1.87840005E7</v>
      </c>
      <c r="E338" s="13">
        <f>SUMIFS('Лист2'!C:C, 'Лист2'!A:A, A338, 'Лист2'!B:B, B338)</f>
        <v>54</v>
      </c>
      <c r="F338" s="13"/>
      <c r="G338" s="13"/>
      <c r="H338" s="2">
        <f t="shared" si="1"/>
        <v>347851.8611</v>
      </c>
      <c r="I338" s="2">
        <f t="shared" si="2"/>
        <v>20</v>
      </c>
    </row>
    <row r="339" ht="14.25" customHeight="1">
      <c r="A339" s="14">
        <v>43982.0</v>
      </c>
      <c r="B339" s="15" t="s">
        <v>10</v>
      </c>
      <c r="C339" s="15">
        <v>215277.0</v>
      </c>
      <c r="D339" s="15">
        <v>2.15853165E7</v>
      </c>
      <c r="E339" s="13">
        <f>SUMIFS('Лист2'!C:C, 'Лист2'!A:A, A339, 'Лист2'!B:B, B339)</f>
        <v>59</v>
      </c>
      <c r="F339" s="13"/>
      <c r="G339" s="13"/>
      <c r="H339" s="2">
        <f t="shared" si="1"/>
        <v>365852.822</v>
      </c>
      <c r="I339" s="2">
        <f t="shared" si="2"/>
        <v>22</v>
      </c>
    </row>
    <row r="340" ht="14.25" customHeight="1">
      <c r="A340" s="11">
        <v>43954.0</v>
      </c>
      <c r="B340" s="12" t="s">
        <v>9</v>
      </c>
      <c r="C340" s="12">
        <v>248148.0</v>
      </c>
      <c r="D340" s="12">
        <v>2.55190725E7</v>
      </c>
      <c r="E340" s="13">
        <f>SUMIFS('Лист2'!C:C, 'Лист2'!A:A, A340, 'Лист2'!B:B, B340)</f>
        <v>54</v>
      </c>
      <c r="F340" s="13"/>
      <c r="G340" s="13"/>
      <c r="H340" s="2">
        <f t="shared" si="1"/>
        <v>472575.4167</v>
      </c>
      <c r="I340" s="2">
        <f t="shared" si="2"/>
        <v>18</v>
      </c>
    </row>
    <row r="341" ht="14.25" customHeight="1">
      <c r="A341" s="14">
        <v>43981.0</v>
      </c>
      <c r="B341" s="15" t="s">
        <v>10</v>
      </c>
      <c r="C341" s="15">
        <v>246414.0</v>
      </c>
      <c r="D341" s="15">
        <v>2.45272455E7</v>
      </c>
      <c r="E341" s="13">
        <f>SUMIFS('Лист2'!C:C, 'Лист2'!A:A, A341, 'Лист2'!B:B, B341)</f>
        <v>59</v>
      </c>
      <c r="F341" s="13"/>
      <c r="G341" s="13"/>
      <c r="H341" s="2">
        <f t="shared" si="1"/>
        <v>415716.0254</v>
      </c>
      <c r="I341" s="2">
        <f t="shared" si="2"/>
        <v>22</v>
      </c>
    </row>
    <row r="342" ht="14.25" customHeight="1">
      <c r="A342" s="11">
        <v>43957.0</v>
      </c>
      <c r="B342" s="12" t="s">
        <v>9</v>
      </c>
      <c r="C342" s="12">
        <v>216498.0</v>
      </c>
      <c r="D342" s="12">
        <v>2.21264445E7</v>
      </c>
      <c r="E342" s="13">
        <f>SUMIFS('Лист2'!C:C, 'Лист2'!A:A, A342, 'Лист2'!B:B, B342)</f>
        <v>54</v>
      </c>
      <c r="F342" s="13"/>
      <c r="G342" s="13"/>
      <c r="H342" s="2">
        <f t="shared" si="1"/>
        <v>409748.9722</v>
      </c>
      <c r="I342" s="2">
        <f t="shared" si="2"/>
        <v>19</v>
      </c>
    </row>
    <row r="343" ht="14.25" customHeight="1">
      <c r="A343" s="14">
        <v>43974.0</v>
      </c>
      <c r="B343" s="15" t="s">
        <v>9</v>
      </c>
      <c r="C343" s="15">
        <v>275793.0</v>
      </c>
      <c r="D343" s="15">
        <v>2.6806626E7</v>
      </c>
      <c r="E343" s="13">
        <f>SUMIFS('Лист2'!C:C, 'Лист2'!A:A, A343, 'Лист2'!B:B, B343)</f>
        <v>54</v>
      </c>
      <c r="F343" s="13"/>
      <c r="G343" s="13"/>
      <c r="H343" s="2">
        <f t="shared" si="1"/>
        <v>496419</v>
      </c>
      <c r="I343" s="2">
        <f t="shared" si="2"/>
        <v>21</v>
      </c>
    </row>
    <row r="344" ht="14.25" customHeight="1">
      <c r="A344" s="11">
        <v>43979.0</v>
      </c>
      <c r="B344" s="12" t="s">
        <v>10</v>
      </c>
      <c r="C344" s="12">
        <v>199753.5</v>
      </c>
      <c r="D344" s="12">
        <v>2.05357335E7</v>
      </c>
      <c r="E344" s="13">
        <f>SUMIFS('Лист2'!C:C, 'Лист2'!A:A, A344, 'Лист2'!B:B, B344)</f>
        <v>60</v>
      </c>
      <c r="F344" s="13"/>
      <c r="G344" s="13"/>
      <c r="H344" s="2">
        <f t="shared" si="1"/>
        <v>342262.225</v>
      </c>
      <c r="I344" s="2">
        <f t="shared" si="2"/>
        <v>22</v>
      </c>
    </row>
    <row r="345" ht="14.25" customHeight="1">
      <c r="A345" s="14">
        <v>43976.0</v>
      </c>
      <c r="B345" s="15" t="s">
        <v>9</v>
      </c>
      <c r="C345" s="15">
        <v>192948.0</v>
      </c>
      <c r="D345" s="15">
        <v>1.9806927E7</v>
      </c>
      <c r="E345" s="13">
        <f>SUMIFS('Лист2'!C:C, 'Лист2'!A:A, A345, 'Лист2'!B:B, B345)</f>
        <v>54</v>
      </c>
      <c r="F345" s="13"/>
      <c r="G345" s="13"/>
      <c r="H345" s="2">
        <f t="shared" si="1"/>
        <v>366794.9444</v>
      </c>
      <c r="I345" s="2">
        <f t="shared" si="2"/>
        <v>22</v>
      </c>
    </row>
    <row r="346" ht="14.25" customHeight="1">
      <c r="A346" s="11">
        <v>43951.0</v>
      </c>
      <c r="B346" s="12" t="s">
        <v>9</v>
      </c>
      <c r="C346" s="12">
        <v>206038.5</v>
      </c>
      <c r="D346" s="12">
        <v>2.174046E7</v>
      </c>
      <c r="E346" s="13">
        <f>SUMIFS('Лист2'!C:C, 'Лист2'!A:A, A346, 'Лист2'!B:B, B346)</f>
        <v>54</v>
      </c>
      <c r="F346" s="13"/>
      <c r="G346" s="13"/>
      <c r="H346" s="2">
        <f t="shared" si="1"/>
        <v>402601.1111</v>
      </c>
      <c r="I346" s="2">
        <f t="shared" si="2"/>
        <v>18</v>
      </c>
    </row>
    <row r="347" ht="14.25" customHeight="1">
      <c r="A347" s="14">
        <v>43961.0</v>
      </c>
      <c r="B347" s="15" t="s">
        <v>9</v>
      </c>
      <c r="C347" s="15">
        <v>231559.5</v>
      </c>
      <c r="D347" s="15">
        <v>2.3443725E7</v>
      </c>
      <c r="E347" s="13">
        <f>SUMIFS('Лист2'!C:C, 'Лист2'!A:A, A347, 'Лист2'!B:B, B347)</f>
        <v>54</v>
      </c>
      <c r="F347" s="13"/>
      <c r="G347" s="13"/>
      <c r="H347" s="2">
        <f t="shared" si="1"/>
        <v>434143.0556</v>
      </c>
      <c r="I347" s="2">
        <f t="shared" si="2"/>
        <v>19</v>
      </c>
    </row>
    <row r="348" ht="14.25" customHeight="1">
      <c r="A348" s="11">
        <v>43959.0</v>
      </c>
      <c r="B348" s="12" t="s">
        <v>9</v>
      </c>
      <c r="C348" s="12">
        <v>225076.5</v>
      </c>
      <c r="D348" s="12">
        <v>2.28460785E7</v>
      </c>
      <c r="E348" s="13">
        <f>SUMIFS('Лист2'!C:C, 'Лист2'!A:A, A348, 'Лист2'!B:B, B348)</f>
        <v>54</v>
      </c>
      <c r="F348" s="13"/>
      <c r="G348" s="13"/>
      <c r="H348" s="2">
        <f t="shared" si="1"/>
        <v>423075.5278</v>
      </c>
      <c r="I348" s="2">
        <f t="shared" si="2"/>
        <v>19</v>
      </c>
    </row>
    <row r="349" ht="14.25" customHeight="1">
      <c r="A349" s="14">
        <v>43958.0</v>
      </c>
      <c r="B349" s="15" t="s">
        <v>9</v>
      </c>
      <c r="C349" s="15">
        <v>209415.0</v>
      </c>
      <c r="D349" s="15">
        <v>2.1463023E7</v>
      </c>
      <c r="E349" s="13">
        <f>SUMIFS('Лист2'!C:C, 'Лист2'!A:A, A349, 'Лист2'!B:B, B349)</f>
        <v>54</v>
      </c>
      <c r="F349" s="13"/>
      <c r="G349" s="13"/>
      <c r="H349" s="2">
        <f t="shared" si="1"/>
        <v>397463.3889</v>
      </c>
      <c r="I349" s="2">
        <f t="shared" si="2"/>
        <v>19</v>
      </c>
    </row>
    <row r="350" ht="14.25" customHeight="1">
      <c r="A350" s="11">
        <v>43975.0</v>
      </c>
      <c r="B350" s="12" t="s">
        <v>9</v>
      </c>
      <c r="C350" s="12">
        <v>193719.0</v>
      </c>
      <c r="D350" s="12">
        <v>1.9071117E7</v>
      </c>
      <c r="E350" s="13">
        <f>SUMIFS('Лист2'!C:C, 'Лист2'!A:A, A350, 'Лист2'!B:B, B350)</f>
        <v>54</v>
      </c>
      <c r="F350" s="13"/>
      <c r="G350" s="13"/>
      <c r="H350" s="2">
        <f t="shared" si="1"/>
        <v>353168.8333</v>
      </c>
      <c r="I350" s="2">
        <f t="shared" si="2"/>
        <v>21</v>
      </c>
    </row>
    <row r="351" ht="14.25" customHeight="1">
      <c r="A351" s="14">
        <v>43950.0</v>
      </c>
      <c r="B351" s="15" t="s">
        <v>12</v>
      </c>
      <c r="C351" s="15">
        <v>12250.5</v>
      </c>
      <c r="D351" s="15">
        <v>981519.0</v>
      </c>
      <c r="E351" s="13">
        <f>SUMIFS('Лист2'!C:C, 'Лист2'!A:A, A351, 'Лист2'!B:B, B351)</f>
        <v>15</v>
      </c>
      <c r="F351" s="13"/>
      <c r="G351" s="13"/>
      <c r="H351" s="2">
        <f t="shared" si="1"/>
        <v>65434.6</v>
      </c>
      <c r="I351" s="2">
        <f t="shared" si="2"/>
        <v>18</v>
      </c>
    </row>
    <row r="352" ht="14.25" customHeight="1">
      <c r="A352" s="11">
        <v>43949.0</v>
      </c>
      <c r="B352" s="12" t="s">
        <v>12</v>
      </c>
      <c r="C352" s="12">
        <v>12541.5</v>
      </c>
      <c r="D352" s="12">
        <v>992541.0</v>
      </c>
      <c r="E352" s="13">
        <f>SUMIFS('Лист2'!C:C, 'Лист2'!A:A, A352, 'Лист2'!B:B, B352)</f>
        <v>15</v>
      </c>
      <c r="F352" s="13"/>
      <c r="G352" s="13"/>
      <c r="H352" s="2">
        <f t="shared" si="1"/>
        <v>66169.4</v>
      </c>
      <c r="I352" s="2">
        <f t="shared" si="2"/>
        <v>18</v>
      </c>
    </row>
    <row r="353" ht="14.25" customHeight="1">
      <c r="A353" s="14">
        <v>43982.0</v>
      </c>
      <c r="B353" s="15" t="s">
        <v>9</v>
      </c>
      <c r="C353" s="15">
        <v>206758.5</v>
      </c>
      <c r="D353" s="15">
        <v>2.07172485E7</v>
      </c>
      <c r="E353" s="13">
        <f>SUMIFS('Лист2'!C:C, 'Лист2'!A:A, A353, 'Лист2'!B:B, B353)</f>
        <v>54</v>
      </c>
      <c r="F353" s="13"/>
      <c r="G353" s="13"/>
      <c r="H353" s="2">
        <f t="shared" si="1"/>
        <v>383652.75</v>
      </c>
      <c r="I353" s="2">
        <f t="shared" si="2"/>
        <v>22</v>
      </c>
    </row>
    <row r="354" ht="14.25" customHeight="1">
      <c r="A354" s="11">
        <v>43981.0</v>
      </c>
      <c r="B354" s="12" t="s">
        <v>9</v>
      </c>
      <c r="C354" s="12">
        <v>244734.0</v>
      </c>
      <c r="D354" s="12">
        <v>2.415198E7</v>
      </c>
      <c r="E354" s="13">
        <f>SUMIFS('Лист2'!C:C, 'Лист2'!A:A, A354, 'Лист2'!B:B, B354)</f>
        <v>54</v>
      </c>
      <c r="F354" s="13"/>
      <c r="G354" s="13"/>
      <c r="H354" s="2">
        <f t="shared" si="1"/>
        <v>447258.8889</v>
      </c>
      <c r="I354" s="2">
        <f t="shared" si="2"/>
        <v>22</v>
      </c>
    </row>
    <row r="355" ht="14.25" customHeight="1">
      <c r="A355" s="14">
        <v>43979.0</v>
      </c>
      <c r="B355" s="15" t="s">
        <v>9</v>
      </c>
      <c r="C355" s="15">
        <v>191641.5</v>
      </c>
      <c r="D355" s="15">
        <v>1.95490365E7</v>
      </c>
      <c r="E355" s="13">
        <f>SUMIFS('Лист2'!C:C, 'Лист2'!A:A, A355, 'Лист2'!B:B, B355)</f>
        <v>54</v>
      </c>
      <c r="F355" s="13"/>
      <c r="G355" s="13"/>
      <c r="H355" s="2">
        <f t="shared" si="1"/>
        <v>362019.1944</v>
      </c>
      <c r="I355" s="2">
        <f t="shared" si="2"/>
        <v>22</v>
      </c>
    </row>
    <row r="356" ht="14.25" customHeight="1">
      <c r="A356" s="11">
        <v>43967.0</v>
      </c>
      <c r="B356" s="12" t="s">
        <v>12</v>
      </c>
      <c r="C356" s="12">
        <v>16368.0</v>
      </c>
      <c r="D356" s="12">
        <v>1316350.5</v>
      </c>
      <c r="E356" s="13">
        <f>SUMIFS('Лист2'!C:C, 'Лист2'!A:A, A356, 'Лист2'!B:B, B356)</f>
        <v>16</v>
      </c>
      <c r="F356" s="13"/>
      <c r="G356" s="13"/>
      <c r="H356" s="2">
        <f t="shared" si="1"/>
        <v>82271.90625</v>
      </c>
      <c r="I356" s="2">
        <f t="shared" si="2"/>
        <v>20</v>
      </c>
    </row>
    <row r="357" ht="14.25" customHeight="1">
      <c r="A357" s="14">
        <v>43970.0</v>
      </c>
      <c r="B357" s="15" t="s">
        <v>12</v>
      </c>
      <c r="C357" s="15">
        <v>14427.0</v>
      </c>
      <c r="D357" s="15">
        <v>1126810.5</v>
      </c>
      <c r="E357" s="13">
        <f>SUMIFS('Лист2'!C:C, 'Лист2'!A:A, A357, 'Лист2'!B:B, B357)</f>
        <v>17</v>
      </c>
      <c r="F357" s="13"/>
      <c r="G357" s="13"/>
      <c r="H357" s="2">
        <f t="shared" si="1"/>
        <v>66282.97059</v>
      </c>
      <c r="I357" s="2">
        <f t="shared" si="2"/>
        <v>21</v>
      </c>
    </row>
    <row r="358" ht="14.25" customHeight="1">
      <c r="A358" s="11">
        <v>43968.0</v>
      </c>
      <c r="B358" s="12" t="s">
        <v>12</v>
      </c>
      <c r="C358" s="12">
        <v>13440.0</v>
      </c>
      <c r="D358" s="12">
        <v>1157529.0</v>
      </c>
      <c r="E358" s="13">
        <f>SUMIFS('Лист2'!C:C, 'Лист2'!A:A, A358, 'Лист2'!B:B, B358)</f>
        <v>16</v>
      </c>
      <c r="F358" s="13"/>
      <c r="G358" s="13"/>
      <c r="H358" s="2">
        <f t="shared" si="1"/>
        <v>72345.5625</v>
      </c>
      <c r="I358" s="2">
        <f t="shared" si="2"/>
        <v>20</v>
      </c>
    </row>
    <row r="359" ht="14.25" customHeight="1">
      <c r="A359" s="14">
        <v>43960.0</v>
      </c>
      <c r="B359" s="15" t="s">
        <v>12</v>
      </c>
      <c r="C359" s="15">
        <v>11745.0</v>
      </c>
      <c r="D359" s="15">
        <v>955801.5</v>
      </c>
      <c r="E359" s="13">
        <f>SUMIFS('Лист2'!C:C, 'Лист2'!A:A, A359, 'Лист2'!B:B, B359)</f>
        <v>15</v>
      </c>
      <c r="F359" s="13"/>
      <c r="G359" s="13"/>
      <c r="H359" s="2">
        <f t="shared" si="1"/>
        <v>63720.1</v>
      </c>
      <c r="I359" s="2">
        <f t="shared" si="2"/>
        <v>19</v>
      </c>
    </row>
    <row r="360" ht="14.25" customHeight="1">
      <c r="A360" s="11">
        <v>43955.0</v>
      </c>
      <c r="B360" s="12" t="s">
        <v>12</v>
      </c>
      <c r="C360" s="12">
        <v>11062.5</v>
      </c>
      <c r="D360" s="12">
        <v>906343.5</v>
      </c>
      <c r="E360" s="13">
        <f>SUMIFS('Лист2'!C:C, 'Лист2'!A:A, A360, 'Лист2'!B:B, B360)</f>
        <v>15</v>
      </c>
      <c r="F360" s="13"/>
      <c r="G360" s="13"/>
      <c r="H360" s="2">
        <f t="shared" si="1"/>
        <v>60422.9</v>
      </c>
      <c r="I360" s="2">
        <f t="shared" si="2"/>
        <v>19</v>
      </c>
    </row>
    <row r="361" ht="14.25" customHeight="1">
      <c r="A361" s="14">
        <v>43953.0</v>
      </c>
      <c r="B361" s="15" t="s">
        <v>12</v>
      </c>
      <c r="C361" s="15">
        <v>10018.5</v>
      </c>
      <c r="D361" s="15">
        <v>816859.5</v>
      </c>
      <c r="E361" s="13">
        <f>SUMIFS('Лист2'!C:C, 'Лист2'!A:A, A361, 'Лист2'!B:B, B361)</f>
        <v>15</v>
      </c>
      <c r="F361" s="13"/>
      <c r="G361" s="13"/>
      <c r="H361" s="2">
        <f t="shared" si="1"/>
        <v>54457.3</v>
      </c>
      <c r="I361" s="2">
        <f t="shared" si="2"/>
        <v>18</v>
      </c>
    </row>
    <row r="362" ht="14.25" customHeight="1">
      <c r="A362" s="11">
        <v>43977.0</v>
      </c>
      <c r="B362" s="12" t="s">
        <v>20</v>
      </c>
      <c r="C362" s="12">
        <v>10437.0</v>
      </c>
      <c r="D362" s="12">
        <v>833815.5</v>
      </c>
      <c r="E362" s="13">
        <f>SUMIFS('Лист2'!C:C, 'Лист2'!A:A, A362, 'Лист2'!B:B, B362)</f>
        <v>7</v>
      </c>
      <c r="F362" s="13"/>
      <c r="G362" s="13"/>
      <c r="H362" s="2">
        <f t="shared" si="1"/>
        <v>119116.5</v>
      </c>
      <c r="I362" s="2">
        <f t="shared" si="2"/>
        <v>22</v>
      </c>
    </row>
    <row r="363" ht="14.25" customHeight="1">
      <c r="A363" s="14">
        <v>43952.0</v>
      </c>
      <c r="B363" s="15" t="s">
        <v>12</v>
      </c>
      <c r="C363" s="15">
        <v>13644.0</v>
      </c>
      <c r="D363" s="15">
        <v>1134444.0</v>
      </c>
      <c r="E363" s="13">
        <f>SUMIFS('Лист2'!C:C, 'Лист2'!A:A, A363, 'Лист2'!B:B, B363)</f>
        <v>15</v>
      </c>
      <c r="F363" s="13"/>
      <c r="G363" s="13"/>
      <c r="H363" s="2">
        <f t="shared" si="1"/>
        <v>75629.6</v>
      </c>
      <c r="I363" s="2">
        <f t="shared" si="2"/>
        <v>18</v>
      </c>
    </row>
    <row r="364" ht="14.25" customHeight="1">
      <c r="A364" s="11">
        <v>43963.0</v>
      </c>
      <c r="B364" s="12" t="s">
        <v>12</v>
      </c>
      <c r="C364" s="12">
        <v>13443.0</v>
      </c>
      <c r="D364" s="12">
        <v>1092277.5</v>
      </c>
      <c r="E364" s="13">
        <f>SUMIFS('Лист2'!C:C, 'Лист2'!A:A, A364, 'Лист2'!B:B, B364)</f>
        <v>15</v>
      </c>
      <c r="F364" s="13"/>
      <c r="G364" s="13"/>
      <c r="H364" s="2">
        <f t="shared" si="1"/>
        <v>72818.5</v>
      </c>
      <c r="I364" s="2">
        <f t="shared" si="2"/>
        <v>20</v>
      </c>
    </row>
    <row r="365" ht="14.25" customHeight="1">
      <c r="A365" s="14">
        <v>43972.0</v>
      </c>
      <c r="B365" s="15" t="s">
        <v>12</v>
      </c>
      <c r="C365" s="15">
        <v>14182.5</v>
      </c>
      <c r="D365" s="15">
        <v>1172574.0</v>
      </c>
      <c r="E365" s="13">
        <f>SUMIFS('Лист2'!C:C, 'Лист2'!A:A, A365, 'Лист2'!B:B, B365)</f>
        <v>18</v>
      </c>
      <c r="F365" s="13"/>
      <c r="G365" s="13"/>
      <c r="H365" s="2">
        <f t="shared" si="1"/>
        <v>65143</v>
      </c>
      <c r="I365" s="2">
        <f t="shared" si="2"/>
        <v>21</v>
      </c>
    </row>
    <row r="366" ht="14.25" customHeight="1">
      <c r="A366" s="11">
        <v>43971.0</v>
      </c>
      <c r="B366" s="12" t="s">
        <v>12</v>
      </c>
      <c r="C366" s="12">
        <v>14928.0</v>
      </c>
      <c r="D366" s="12">
        <v>1217749.5</v>
      </c>
      <c r="E366" s="13">
        <f>SUMIFS('Лист2'!C:C, 'Лист2'!A:A, A366, 'Лист2'!B:B, B366)</f>
        <v>17</v>
      </c>
      <c r="F366" s="13"/>
      <c r="G366" s="13"/>
      <c r="H366" s="2">
        <f t="shared" si="1"/>
        <v>71632.32353</v>
      </c>
      <c r="I366" s="2">
        <f t="shared" si="2"/>
        <v>21</v>
      </c>
    </row>
    <row r="367" ht="14.25" customHeight="1">
      <c r="A367" s="14">
        <v>43956.0</v>
      </c>
      <c r="B367" s="15" t="s">
        <v>12</v>
      </c>
      <c r="C367" s="15">
        <v>13941.0</v>
      </c>
      <c r="D367" s="15">
        <v>1145575.5</v>
      </c>
      <c r="E367" s="13">
        <f>SUMIFS('Лист2'!C:C, 'Лист2'!A:A, A367, 'Лист2'!B:B, B367)</f>
        <v>15</v>
      </c>
      <c r="F367" s="13"/>
      <c r="G367" s="13"/>
      <c r="H367" s="2">
        <f t="shared" si="1"/>
        <v>76371.7</v>
      </c>
      <c r="I367" s="2">
        <f t="shared" si="2"/>
        <v>19</v>
      </c>
    </row>
    <row r="368" ht="14.25" customHeight="1">
      <c r="A368" s="11">
        <v>43964.0</v>
      </c>
      <c r="B368" s="12" t="s">
        <v>12</v>
      </c>
      <c r="C368" s="12">
        <v>14643.0</v>
      </c>
      <c r="D368" s="12">
        <v>1172691.0</v>
      </c>
      <c r="E368" s="13">
        <f>SUMIFS('Лист2'!C:C, 'Лист2'!A:A, A368, 'Лист2'!B:B, B368)</f>
        <v>15</v>
      </c>
      <c r="F368" s="13"/>
      <c r="G368" s="13"/>
      <c r="H368" s="2">
        <f t="shared" si="1"/>
        <v>78179.4</v>
      </c>
      <c r="I368" s="2">
        <f t="shared" si="2"/>
        <v>20</v>
      </c>
    </row>
    <row r="369" ht="14.25" customHeight="1">
      <c r="A369" s="14">
        <v>43954.0</v>
      </c>
      <c r="B369" s="15" t="s">
        <v>12</v>
      </c>
      <c r="C369" s="15">
        <v>10032.0</v>
      </c>
      <c r="D369" s="15">
        <v>816150.0</v>
      </c>
      <c r="E369" s="13">
        <f>SUMIFS('Лист2'!C:C, 'Лист2'!A:A, A369, 'Лист2'!B:B, B369)</f>
        <v>15</v>
      </c>
      <c r="F369" s="13"/>
      <c r="G369" s="13"/>
      <c r="H369" s="2">
        <f t="shared" si="1"/>
        <v>54410</v>
      </c>
      <c r="I369" s="2">
        <f t="shared" si="2"/>
        <v>18</v>
      </c>
    </row>
    <row r="370" ht="14.25" customHeight="1">
      <c r="A370" s="11">
        <v>43957.0</v>
      </c>
      <c r="B370" s="12" t="s">
        <v>12</v>
      </c>
      <c r="C370" s="12">
        <v>12468.0</v>
      </c>
      <c r="D370" s="12">
        <v>1016566.5</v>
      </c>
      <c r="E370" s="13">
        <f>SUMIFS('Лист2'!C:C, 'Лист2'!A:A, A370, 'Лист2'!B:B, B370)</f>
        <v>15</v>
      </c>
      <c r="F370" s="13"/>
      <c r="G370" s="13"/>
      <c r="H370" s="2">
        <f t="shared" si="1"/>
        <v>67771.1</v>
      </c>
      <c r="I370" s="2">
        <f t="shared" si="2"/>
        <v>19</v>
      </c>
    </row>
    <row r="371" ht="14.25" customHeight="1">
      <c r="A371" s="14">
        <v>43974.0</v>
      </c>
      <c r="B371" s="15" t="s">
        <v>12</v>
      </c>
      <c r="C371" s="15">
        <v>17943.0</v>
      </c>
      <c r="D371" s="15">
        <v>1457391.0</v>
      </c>
      <c r="E371" s="13">
        <f>SUMIFS('Лист2'!C:C, 'Лист2'!A:A, A371, 'Лист2'!B:B, B371)</f>
        <v>18</v>
      </c>
      <c r="F371" s="13"/>
      <c r="G371" s="13"/>
      <c r="H371" s="2">
        <f t="shared" si="1"/>
        <v>80966.16667</v>
      </c>
      <c r="I371" s="2">
        <f t="shared" si="2"/>
        <v>21</v>
      </c>
    </row>
    <row r="372" ht="14.25" customHeight="1">
      <c r="A372" s="11">
        <v>43976.0</v>
      </c>
      <c r="B372" s="12" t="s">
        <v>12</v>
      </c>
      <c r="C372" s="12">
        <v>15807.0</v>
      </c>
      <c r="D372" s="12">
        <v>1326705.0</v>
      </c>
      <c r="E372" s="13">
        <f>SUMIFS('Лист2'!C:C, 'Лист2'!A:A, A372, 'Лист2'!B:B, B372)</f>
        <v>18</v>
      </c>
      <c r="F372" s="13"/>
      <c r="G372" s="13"/>
      <c r="H372" s="2">
        <f t="shared" si="1"/>
        <v>73705.83333</v>
      </c>
      <c r="I372" s="2">
        <f t="shared" si="2"/>
        <v>22</v>
      </c>
    </row>
    <row r="373" ht="14.25" customHeight="1">
      <c r="A373" s="14">
        <v>43951.0</v>
      </c>
      <c r="B373" s="15" t="s">
        <v>12</v>
      </c>
      <c r="C373" s="15">
        <v>11976.0</v>
      </c>
      <c r="D373" s="15">
        <v>1004511.0</v>
      </c>
      <c r="E373" s="13">
        <f>SUMIFS('Лист2'!C:C, 'Лист2'!A:A, A373, 'Лист2'!B:B, B373)</f>
        <v>15</v>
      </c>
      <c r="F373" s="13"/>
      <c r="G373" s="13"/>
      <c r="H373" s="2">
        <f t="shared" si="1"/>
        <v>66967.4</v>
      </c>
      <c r="I373" s="2">
        <f t="shared" si="2"/>
        <v>18</v>
      </c>
    </row>
    <row r="374" ht="14.25" customHeight="1">
      <c r="A374" s="11">
        <v>43961.0</v>
      </c>
      <c r="B374" s="12" t="s">
        <v>12</v>
      </c>
      <c r="C374" s="12">
        <v>14566.5</v>
      </c>
      <c r="D374" s="12">
        <v>1216557.0</v>
      </c>
      <c r="E374" s="13">
        <f>SUMIFS('Лист2'!C:C, 'Лист2'!A:A, A374, 'Лист2'!B:B, B374)</f>
        <v>15</v>
      </c>
      <c r="F374" s="13"/>
      <c r="G374" s="13"/>
      <c r="H374" s="2">
        <f t="shared" si="1"/>
        <v>81103.8</v>
      </c>
      <c r="I374" s="2">
        <f t="shared" si="2"/>
        <v>19</v>
      </c>
    </row>
    <row r="375" ht="14.25" customHeight="1">
      <c r="A375" s="14">
        <v>43959.0</v>
      </c>
      <c r="B375" s="15" t="s">
        <v>12</v>
      </c>
      <c r="C375" s="15">
        <v>12976.5</v>
      </c>
      <c r="D375" s="15">
        <v>1046848.5</v>
      </c>
      <c r="E375" s="13">
        <f>SUMIFS('Лист2'!C:C, 'Лист2'!A:A, A375, 'Лист2'!B:B, B375)</f>
        <v>15</v>
      </c>
      <c r="F375" s="13"/>
      <c r="G375" s="13"/>
      <c r="H375" s="2">
        <f t="shared" si="1"/>
        <v>69789.9</v>
      </c>
      <c r="I375" s="2">
        <f t="shared" si="2"/>
        <v>19</v>
      </c>
    </row>
    <row r="376" ht="14.25" customHeight="1">
      <c r="A376" s="11">
        <v>43958.0</v>
      </c>
      <c r="B376" s="12" t="s">
        <v>12</v>
      </c>
      <c r="C376" s="12">
        <v>11719.5</v>
      </c>
      <c r="D376" s="12">
        <v>965880.0</v>
      </c>
      <c r="E376" s="13">
        <f>SUMIFS('Лист2'!C:C, 'Лист2'!A:A, A376, 'Лист2'!B:B, B376)</f>
        <v>15</v>
      </c>
      <c r="F376" s="13"/>
      <c r="G376" s="13"/>
      <c r="H376" s="2">
        <f t="shared" si="1"/>
        <v>64392</v>
      </c>
      <c r="I376" s="2">
        <f t="shared" si="2"/>
        <v>19</v>
      </c>
    </row>
    <row r="377" ht="14.25" customHeight="1">
      <c r="A377" s="14">
        <v>43975.0</v>
      </c>
      <c r="B377" s="15" t="s">
        <v>12</v>
      </c>
      <c r="C377" s="15">
        <v>17197.5</v>
      </c>
      <c r="D377" s="15">
        <v>1386262.5</v>
      </c>
      <c r="E377" s="13">
        <f>SUMIFS('Лист2'!C:C, 'Лист2'!A:A, A377, 'Лист2'!B:B, B377)</f>
        <v>18</v>
      </c>
      <c r="F377" s="13"/>
      <c r="G377" s="13"/>
      <c r="H377" s="2">
        <f t="shared" si="1"/>
        <v>77014.58333</v>
      </c>
      <c r="I377" s="2">
        <f t="shared" si="2"/>
        <v>21</v>
      </c>
    </row>
    <row r="378" ht="14.25" customHeight="1">
      <c r="A378" s="11">
        <v>43977.0</v>
      </c>
      <c r="B378" s="12" t="s">
        <v>12</v>
      </c>
      <c r="C378" s="12">
        <v>14419.5</v>
      </c>
      <c r="D378" s="12">
        <v>1210456.5</v>
      </c>
      <c r="E378" s="13">
        <f>SUMIFS('Лист2'!C:C, 'Лист2'!A:A, A378, 'Лист2'!B:B, B378)</f>
        <v>18</v>
      </c>
      <c r="F378" s="13"/>
      <c r="G378" s="13"/>
      <c r="H378" s="2">
        <f t="shared" si="1"/>
        <v>67247.58333</v>
      </c>
      <c r="I378" s="2">
        <f t="shared" si="2"/>
        <v>22</v>
      </c>
    </row>
    <row r="379" ht="14.25" customHeight="1">
      <c r="A379" s="14">
        <v>43983.0</v>
      </c>
      <c r="B379" s="15" t="s">
        <v>15</v>
      </c>
      <c r="C379" s="15">
        <v>7816.5</v>
      </c>
      <c r="D379" s="15">
        <v>636345.0</v>
      </c>
      <c r="E379" s="13">
        <f>SUMIFS('Лист2'!C:C, 'Лист2'!A:A, A379, 'Лист2'!B:B, B379)</f>
        <v>15</v>
      </c>
      <c r="F379" s="13"/>
      <c r="G379" s="13"/>
      <c r="H379" s="2">
        <f t="shared" si="1"/>
        <v>42423</v>
      </c>
      <c r="I379" s="2">
        <f t="shared" si="2"/>
        <v>23</v>
      </c>
    </row>
    <row r="380" ht="14.25" customHeight="1">
      <c r="A380" s="11">
        <v>43982.0</v>
      </c>
      <c r="B380" s="12" t="s">
        <v>19</v>
      </c>
      <c r="C380" s="12">
        <v>6409.5</v>
      </c>
      <c r="D380" s="12">
        <v>493893.0</v>
      </c>
      <c r="E380" s="13">
        <f>SUMIFS('Лист2'!C:C, 'Лист2'!A:A, A380, 'Лист2'!B:B, B380)</f>
        <v>9</v>
      </c>
      <c r="F380" s="13"/>
      <c r="G380" s="13"/>
      <c r="H380" s="2">
        <f t="shared" si="1"/>
        <v>54877</v>
      </c>
      <c r="I380" s="2">
        <f t="shared" si="2"/>
        <v>22</v>
      </c>
    </row>
    <row r="381" ht="14.25" customHeight="1">
      <c r="A381" s="14">
        <v>43981.0</v>
      </c>
      <c r="B381" s="15" t="s">
        <v>20</v>
      </c>
      <c r="C381" s="15">
        <v>11220.0</v>
      </c>
      <c r="D381" s="15">
        <v>928675.5</v>
      </c>
      <c r="E381" s="13">
        <f>SUMIFS('Лист2'!C:C, 'Лист2'!A:A, A381, 'Лист2'!B:B, B381)</f>
        <v>7</v>
      </c>
      <c r="F381" s="13"/>
      <c r="G381" s="13"/>
      <c r="H381" s="2">
        <f t="shared" si="1"/>
        <v>132667.9286</v>
      </c>
      <c r="I381" s="2">
        <f t="shared" si="2"/>
        <v>22</v>
      </c>
    </row>
    <row r="382" ht="14.25" customHeight="1">
      <c r="A382" s="11">
        <v>43980.0</v>
      </c>
      <c r="B382" s="12" t="s">
        <v>15</v>
      </c>
      <c r="C382" s="12">
        <v>8350.5</v>
      </c>
      <c r="D382" s="12">
        <v>651237.0</v>
      </c>
      <c r="E382" s="13">
        <f>SUMIFS('Лист2'!C:C, 'Лист2'!A:A, A382, 'Лист2'!B:B, B382)</f>
        <v>15</v>
      </c>
      <c r="F382" s="13"/>
      <c r="G382" s="13"/>
      <c r="H382" s="2">
        <f t="shared" si="1"/>
        <v>43415.8</v>
      </c>
      <c r="I382" s="2">
        <f t="shared" si="2"/>
        <v>22</v>
      </c>
    </row>
    <row r="383" ht="14.25" customHeight="1">
      <c r="A383" s="14">
        <v>43979.0</v>
      </c>
      <c r="B383" s="15" t="s">
        <v>20</v>
      </c>
      <c r="C383" s="15">
        <v>8428.5</v>
      </c>
      <c r="D383" s="15">
        <v>694669.5</v>
      </c>
      <c r="E383" s="13">
        <f>SUMIFS('Лист2'!C:C, 'Лист2'!A:A, A383, 'Лист2'!B:B, B383)</f>
        <v>7</v>
      </c>
      <c r="F383" s="13"/>
      <c r="G383" s="13"/>
      <c r="H383" s="2">
        <f t="shared" si="1"/>
        <v>99238.5</v>
      </c>
      <c r="I383" s="2">
        <f t="shared" si="2"/>
        <v>22</v>
      </c>
    </row>
    <row r="384" ht="14.25" customHeight="1">
      <c r="A384" s="11">
        <v>43978.0</v>
      </c>
      <c r="B384" s="12" t="s">
        <v>7</v>
      </c>
      <c r="C384" s="12">
        <v>32817.0</v>
      </c>
      <c r="D384" s="12">
        <v>3015751.5</v>
      </c>
      <c r="E384" s="13">
        <f>SUMIFS('Лист2'!C:C, 'Лист2'!A:A, A384, 'Лист2'!B:B, B384)</f>
        <v>20</v>
      </c>
      <c r="F384" s="13"/>
      <c r="G384" s="13"/>
      <c r="H384" s="2">
        <f t="shared" si="1"/>
        <v>150787.575</v>
      </c>
      <c r="I384" s="2">
        <f t="shared" si="2"/>
        <v>22</v>
      </c>
    </row>
    <row r="385" ht="14.25" customHeight="1">
      <c r="A385" s="14">
        <v>43973.0</v>
      </c>
      <c r="B385" s="15" t="s">
        <v>7</v>
      </c>
      <c r="C385" s="15">
        <v>36031.5</v>
      </c>
      <c r="D385" s="15">
        <v>3091069.5</v>
      </c>
      <c r="E385" s="13">
        <f>SUMIFS('Лист2'!C:C, 'Лист2'!A:A, A385, 'Лист2'!B:B, B385)</f>
        <v>21</v>
      </c>
      <c r="F385" s="13"/>
      <c r="G385" s="13"/>
      <c r="H385" s="2">
        <f t="shared" si="1"/>
        <v>147193.7857</v>
      </c>
      <c r="I385" s="2">
        <f t="shared" si="2"/>
        <v>21</v>
      </c>
    </row>
    <row r="386" ht="14.25" customHeight="1">
      <c r="A386" s="11">
        <v>43982.0</v>
      </c>
      <c r="B386" s="12" t="s">
        <v>21</v>
      </c>
      <c r="C386" s="12">
        <v>5127.0</v>
      </c>
      <c r="D386" s="12">
        <v>468835.5</v>
      </c>
      <c r="E386" s="13">
        <f>SUMIFS('Лист2'!C:C, 'Лист2'!A:A, A386, 'Лист2'!B:B, B386)</f>
        <v>6</v>
      </c>
      <c r="F386" s="13"/>
      <c r="G386" s="13"/>
      <c r="H386" s="2">
        <f t="shared" si="1"/>
        <v>78139.25</v>
      </c>
      <c r="I386" s="2">
        <f t="shared" si="2"/>
        <v>22</v>
      </c>
    </row>
    <row r="387" ht="14.25" customHeight="1">
      <c r="A387" s="14">
        <v>43962.0</v>
      </c>
      <c r="B387" s="15" t="s">
        <v>7</v>
      </c>
      <c r="C387" s="15">
        <v>27187.5</v>
      </c>
      <c r="D387" s="15">
        <v>2479396.5</v>
      </c>
      <c r="E387" s="13">
        <f>SUMIFS('Лист2'!C:C, 'Лист2'!A:A, A387, 'Лист2'!B:B, B387)</f>
        <v>21</v>
      </c>
      <c r="F387" s="13"/>
      <c r="G387" s="13"/>
      <c r="H387" s="2">
        <f t="shared" si="1"/>
        <v>118066.5</v>
      </c>
      <c r="I387" s="2">
        <f t="shared" si="2"/>
        <v>20</v>
      </c>
    </row>
    <row r="388" ht="14.25" customHeight="1">
      <c r="A388" s="11">
        <v>43981.0</v>
      </c>
      <c r="B388" s="12" t="s">
        <v>12</v>
      </c>
      <c r="C388" s="12">
        <v>20688.0</v>
      </c>
      <c r="D388" s="12">
        <v>1773154.5</v>
      </c>
      <c r="E388" s="13">
        <f>SUMIFS('Лист2'!C:C, 'Лист2'!A:A, A388, 'Лист2'!B:B, B388)</f>
        <v>18</v>
      </c>
      <c r="F388" s="13"/>
      <c r="G388" s="13"/>
      <c r="H388" s="2">
        <f t="shared" si="1"/>
        <v>98508.58333</v>
      </c>
      <c r="I388" s="2">
        <f t="shared" si="2"/>
        <v>22</v>
      </c>
    </row>
    <row r="389" ht="14.25" customHeight="1">
      <c r="A389" s="14">
        <v>43979.0</v>
      </c>
      <c r="B389" s="15" t="s">
        <v>12</v>
      </c>
      <c r="C389" s="15">
        <v>15678.0</v>
      </c>
      <c r="D389" s="15">
        <v>1387443.0</v>
      </c>
      <c r="E389" s="13">
        <f>SUMIFS('Лист2'!C:C, 'Лист2'!A:A, A389, 'Лист2'!B:B, B389)</f>
        <v>18</v>
      </c>
      <c r="F389" s="13"/>
      <c r="G389" s="13"/>
      <c r="H389" s="2">
        <f t="shared" si="1"/>
        <v>77080.16667</v>
      </c>
      <c r="I389" s="2">
        <f t="shared" si="2"/>
        <v>22</v>
      </c>
    </row>
    <row r="390" ht="14.25" customHeight="1">
      <c r="A390" s="11">
        <v>43969.0</v>
      </c>
      <c r="B390" s="12" t="s">
        <v>7</v>
      </c>
      <c r="C390" s="12">
        <v>31329.0</v>
      </c>
      <c r="D390" s="12">
        <v>2826379.5</v>
      </c>
      <c r="E390" s="13">
        <f>SUMIFS('Лист2'!C:C, 'Лист2'!A:A, A390, 'Лист2'!B:B, B390)</f>
        <v>21</v>
      </c>
      <c r="F390" s="13"/>
      <c r="G390" s="13"/>
      <c r="H390" s="2">
        <f t="shared" si="1"/>
        <v>134589.5</v>
      </c>
      <c r="I390" s="2">
        <f t="shared" si="2"/>
        <v>21</v>
      </c>
    </row>
    <row r="391" ht="14.25" customHeight="1">
      <c r="A391" s="14">
        <v>43965.0</v>
      </c>
      <c r="B391" s="15" t="s">
        <v>7</v>
      </c>
      <c r="C391" s="15">
        <v>29658.0</v>
      </c>
      <c r="D391" s="15">
        <v>2703132.0</v>
      </c>
      <c r="E391" s="13">
        <f>SUMIFS('Лист2'!C:C, 'Лист2'!A:A, A391, 'Лист2'!B:B, B391)</f>
        <v>21</v>
      </c>
      <c r="F391" s="13"/>
      <c r="G391" s="13"/>
      <c r="H391" s="2">
        <f t="shared" si="1"/>
        <v>128720.5714</v>
      </c>
      <c r="I391" s="2">
        <f t="shared" si="2"/>
        <v>20</v>
      </c>
    </row>
    <row r="392" ht="14.25" customHeight="1">
      <c r="A392" s="11">
        <v>43966.0</v>
      </c>
      <c r="B392" s="12" t="s">
        <v>7</v>
      </c>
      <c r="C392" s="12">
        <v>34150.5</v>
      </c>
      <c r="D392" s="12">
        <v>3038293.5</v>
      </c>
      <c r="E392" s="13">
        <f>SUMIFS('Лист2'!C:C, 'Лист2'!A:A, A392, 'Лист2'!B:B, B392)</f>
        <v>21</v>
      </c>
      <c r="F392" s="13"/>
      <c r="G392" s="13"/>
      <c r="H392" s="2">
        <f t="shared" si="1"/>
        <v>144680.6429</v>
      </c>
      <c r="I392" s="2">
        <f t="shared" si="2"/>
        <v>20</v>
      </c>
    </row>
    <row r="393" ht="14.25" customHeight="1">
      <c r="A393" s="14">
        <v>43983.0</v>
      </c>
      <c r="B393" s="15" t="s">
        <v>7</v>
      </c>
      <c r="C393" s="15">
        <v>31947.0</v>
      </c>
      <c r="D393" s="15">
        <v>2945035.5</v>
      </c>
      <c r="E393" s="13">
        <f>SUMIFS('Лист2'!C:C, 'Лист2'!A:A, A393, 'Лист2'!B:B, B393)</f>
        <v>21</v>
      </c>
      <c r="F393" s="13"/>
      <c r="G393" s="13"/>
      <c r="H393" s="2">
        <f t="shared" si="1"/>
        <v>140239.7857</v>
      </c>
      <c r="I393" s="2">
        <f t="shared" si="2"/>
        <v>23</v>
      </c>
    </row>
    <row r="394" ht="14.25" customHeight="1">
      <c r="A394" s="11">
        <v>43982.0</v>
      </c>
      <c r="B394" s="12" t="s">
        <v>20</v>
      </c>
      <c r="C394" s="12">
        <v>10416.0</v>
      </c>
      <c r="D394" s="12">
        <v>866023.5</v>
      </c>
      <c r="E394" s="13">
        <f>SUMIFS('Лист2'!C:C, 'Лист2'!A:A, A394, 'Лист2'!B:B, B394)</f>
        <v>7</v>
      </c>
      <c r="F394" s="13"/>
      <c r="G394" s="13"/>
      <c r="H394" s="2">
        <f t="shared" si="1"/>
        <v>123717.6429</v>
      </c>
      <c r="I394" s="2">
        <f t="shared" si="2"/>
        <v>22</v>
      </c>
    </row>
    <row r="395" ht="14.25" customHeight="1">
      <c r="A395" s="14">
        <v>43980.0</v>
      </c>
      <c r="B395" s="15" t="s">
        <v>7</v>
      </c>
      <c r="C395" s="15">
        <v>35431.5</v>
      </c>
      <c r="D395" s="15">
        <v>3193167.0</v>
      </c>
      <c r="E395" s="13">
        <f>SUMIFS('Лист2'!C:C, 'Лист2'!A:A, A395, 'Лист2'!B:B, B395)</f>
        <v>20</v>
      </c>
      <c r="F395" s="13"/>
      <c r="G395" s="13"/>
      <c r="H395" s="2">
        <f t="shared" si="1"/>
        <v>159658.35</v>
      </c>
      <c r="I395" s="2">
        <f t="shared" si="2"/>
        <v>22</v>
      </c>
    </row>
    <row r="396" ht="14.25" customHeight="1">
      <c r="A396" s="11">
        <v>43978.0</v>
      </c>
      <c r="B396" s="12" t="s">
        <v>5</v>
      </c>
      <c r="C396" s="12">
        <v>78544.5</v>
      </c>
      <c r="D396" s="12">
        <v>6701083.5</v>
      </c>
      <c r="E396" s="13">
        <f>SUMIFS('Лист2'!C:C, 'Лист2'!A:A, A396, 'Лист2'!B:B, B396)</f>
        <v>31</v>
      </c>
      <c r="F396" s="13"/>
      <c r="G396" s="13"/>
      <c r="H396" s="2">
        <f t="shared" si="1"/>
        <v>216163.9839</v>
      </c>
      <c r="I396" s="2">
        <f t="shared" si="2"/>
        <v>22</v>
      </c>
    </row>
    <row r="397" ht="14.25" customHeight="1">
      <c r="A397" s="14">
        <v>43973.0</v>
      </c>
      <c r="B397" s="15" t="s">
        <v>5</v>
      </c>
      <c r="C397" s="15">
        <v>97963.5</v>
      </c>
      <c r="D397" s="15">
        <v>7728465.0</v>
      </c>
      <c r="E397" s="13">
        <f>SUMIFS('Лист2'!C:C, 'Лист2'!A:A, A397, 'Лист2'!B:B, B397)</f>
        <v>31</v>
      </c>
      <c r="F397" s="13"/>
      <c r="G397" s="13"/>
      <c r="H397" s="2">
        <f t="shared" si="1"/>
        <v>249305.3226</v>
      </c>
      <c r="I397" s="2">
        <f t="shared" si="2"/>
        <v>21</v>
      </c>
    </row>
    <row r="398" ht="14.25" customHeight="1">
      <c r="A398" s="11">
        <v>43983.0</v>
      </c>
      <c r="B398" s="12" t="s">
        <v>5</v>
      </c>
      <c r="C398" s="12">
        <v>77269.5</v>
      </c>
      <c r="D398" s="12">
        <v>6829921.5</v>
      </c>
      <c r="E398" s="13">
        <f>SUMIFS('Лист2'!C:C, 'Лист2'!A:A, A398, 'Лист2'!B:B, B398)</f>
        <v>31</v>
      </c>
      <c r="F398" s="13"/>
      <c r="G398" s="13"/>
      <c r="H398" s="2">
        <f t="shared" si="1"/>
        <v>220320.0484</v>
      </c>
      <c r="I398" s="2">
        <f t="shared" si="2"/>
        <v>23</v>
      </c>
    </row>
    <row r="399" ht="14.25" customHeight="1">
      <c r="A399" s="14">
        <v>43982.0</v>
      </c>
      <c r="B399" s="15" t="s">
        <v>12</v>
      </c>
      <c r="C399" s="15">
        <v>16143.0</v>
      </c>
      <c r="D399" s="15">
        <v>1423410.0</v>
      </c>
      <c r="E399" s="13">
        <f>SUMIFS('Лист2'!C:C, 'Лист2'!A:A, A399, 'Лист2'!B:B, B399)</f>
        <v>18</v>
      </c>
      <c r="F399" s="13"/>
      <c r="G399" s="13"/>
      <c r="H399" s="2">
        <f t="shared" si="1"/>
        <v>79078.33333</v>
      </c>
      <c r="I399" s="2">
        <f t="shared" si="2"/>
        <v>22</v>
      </c>
    </row>
    <row r="400" ht="14.25" customHeight="1">
      <c r="A400" s="11">
        <v>43962.0</v>
      </c>
      <c r="B400" s="12" t="s">
        <v>5</v>
      </c>
      <c r="C400" s="12">
        <v>72220.5</v>
      </c>
      <c r="D400" s="12">
        <v>6398719.5</v>
      </c>
      <c r="E400" s="13">
        <f>SUMIFS('Лист2'!C:C, 'Лист2'!A:A, A400, 'Лист2'!B:B, B400)</f>
        <v>31</v>
      </c>
      <c r="F400" s="13"/>
      <c r="G400" s="13"/>
      <c r="H400" s="2">
        <f t="shared" si="1"/>
        <v>206410.3065</v>
      </c>
      <c r="I400" s="2">
        <f t="shared" si="2"/>
        <v>20</v>
      </c>
    </row>
    <row r="401" ht="14.25" customHeight="1">
      <c r="A401" s="14">
        <v>43969.0</v>
      </c>
      <c r="B401" s="15" t="s">
        <v>5</v>
      </c>
      <c r="C401" s="15">
        <v>78058.5</v>
      </c>
      <c r="D401" s="15">
        <v>6609714.0</v>
      </c>
      <c r="E401" s="13">
        <f>SUMIFS('Лист2'!C:C, 'Лист2'!A:A, A401, 'Лист2'!B:B, B401)</f>
        <v>31</v>
      </c>
      <c r="F401" s="13"/>
      <c r="G401" s="13"/>
      <c r="H401" s="2">
        <f t="shared" si="1"/>
        <v>213216.5806</v>
      </c>
      <c r="I401" s="2">
        <f t="shared" si="2"/>
        <v>21</v>
      </c>
    </row>
    <row r="402" ht="14.25" customHeight="1">
      <c r="A402" s="11">
        <v>43965.0</v>
      </c>
      <c r="B402" s="12" t="s">
        <v>5</v>
      </c>
      <c r="C402" s="12">
        <v>70498.5</v>
      </c>
      <c r="D402" s="12">
        <v>6053649.0</v>
      </c>
      <c r="E402" s="13">
        <f>SUMIFS('Лист2'!C:C, 'Лист2'!A:A, A402, 'Лист2'!B:B, B402)</f>
        <v>31</v>
      </c>
      <c r="F402" s="13"/>
      <c r="G402" s="13"/>
      <c r="H402" s="2">
        <f t="shared" si="1"/>
        <v>195279</v>
      </c>
      <c r="I402" s="2">
        <f t="shared" si="2"/>
        <v>20</v>
      </c>
    </row>
    <row r="403" ht="14.25" customHeight="1">
      <c r="A403" s="14">
        <v>43966.0</v>
      </c>
      <c r="B403" s="15" t="s">
        <v>5</v>
      </c>
      <c r="C403" s="15">
        <v>78961.5</v>
      </c>
      <c r="D403" s="15">
        <v>6876454.5</v>
      </c>
      <c r="E403" s="13">
        <f>SUMIFS('Лист2'!C:C, 'Лист2'!A:A, A403, 'Лист2'!B:B, B403)</f>
        <v>31</v>
      </c>
      <c r="F403" s="13"/>
      <c r="G403" s="13"/>
      <c r="H403" s="2">
        <f t="shared" si="1"/>
        <v>221821.1129</v>
      </c>
      <c r="I403" s="2">
        <f t="shared" si="2"/>
        <v>20</v>
      </c>
    </row>
    <row r="404" ht="14.25" customHeight="1">
      <c r="A404" s="11">
        <v>43978.0</v>
      </c>
      <c r="B404" s="12" t="s">
        <v>18</v>
      </c>
      <c r="C404" s="12">
        <v>12490.5</v>
      </c>
      <c r="D404" s="12">
        <v>1054798.5</v>
      </c>
      <c r="E404" s="13">
        <f>SUMIFS('Лист2'!C:C, 'Лист2'!A:A, A404, 'Лист2'!B:B, B404)</f>
        <v>10</v>
      </c>
      <c r="F404" s="13"/>
      <c r="G404" s="13"/>
      <c r="H404" s="2">
        <f t="shared" si="1"/>
        <v>105479.85</v>
      </c>
      <c r="I404" s="2">
        <f t="shared" si="2"/>
        <v>22</v>
      </c>
    </row>
    <row r="405" ht="14.25" customHeight="1">
      <c r="A405" s="14">
        <v>43973.0</v>
      </c>
      <c r="B405" s="15" t="s">
        <v>18</v>
      </c>
      <c r="C405" s="15">
        <v>18036.0</v>
      </c>
      <c r="D405" s="15">
        <v>1455049.5</v>
      </c>
      <c r="E405" s="13">
        <f>SUMIFS('Лист2'!C:C, 'Лист2'!A:A, A405, 'Лист2'!B:B, B405)</f>
        <v>10</v>
      </c>
      <c r="F405" s="13"/>
      <c r="G405" s="13"/>
      <c r="H405" s="2">
        <f t="shared" si="1"/>
        <v>145504.95</v>
      </c>
      <c r="I405" s="2">
        <f t="shared" si="2"/>
        <v>21</v>
      </c>
    </row>
    <row r="406" ht="14.25" customHeight="1">
      <c r="A406" s="11">
        <v>43983.0</v>
      </c>
      <c r="B406" s="12" t="s">
        <v>18</v>
      </c>
      <c r="C406" s="12">
        <v>11416.5</v>
      </c>
      <c r="D406" s="12">
        <v>1007742.0</v>
      </c>
      <c r="E406" s="13">
        <f>SUMIFS('Лист2'!C:C, 'Лист2'!A:A, A406, 'Лист2'!B:B, B406)</f>
        <v>10</v>
      </c>
      <c r="F406" s="13"/>
      <c r="G406" s="13"/>
      <c r="H406" s="2">
        <f t="shared" si="1"/>
        <v>100774.2</v>
      </c>
      <c r="I406" s="2">
        <f t="shared" si="2"/>
        <v>23</v>
      </c>
    </row>
    <row r="407" ht="14.25" customHeight="1">
      <c r="A407" s="14">
        <v>43962.0</v>
      </c>
      <c r="B407" s="15" t="s">
        <v>18</v>
      </c>
      <c r="C407" s="15">
        <v>9007.5</v>
      </c>
      <c r="D407" s="15">
        <v>734335.5</v>
      </c>
      <c r="E407" s="13">
        <f>SUMIFS('Лист2'!C:C, 'Лист2'!A:A, A407, 'Лист2'!B:B, B407)</f>
        <v>10</v>
      </c>
      <c r="F407" s="13"/>
      <c r="G407" s="13"/>
      <c r="H407" s="2">
        <f t="shared" si="1"/>
        <v>73433.55</v>
      </c>
      <c r="I407" s="2">
        <f t="shared" si="2"/>
        <v>20</v>
      </c>
    </row>
    <row r="408" ht="14.25" customHeight="1">
      <c r="A408" s="11">
        <v>43980.0</v>
      </c>
      <c r="B408" s="12" t="s">
        <v>5</v>
      </c>
      <c r="C408" s="12">
        <v>87552.0</v>
      </c>
      <c r="D408" s="12">
        <v>7387116.0</v>
      </c>
      <c r="E408" s="13">
        <f>SUMIFS('Лист2'!C:C, 'Лист2'!A:A, A408, 'Лист2'!B:B, B408)</f>
        <v>31</v>
      </c>
      <c r="F408" s="13"/>
      <c r="G408" s="13"/>
      <c r="H408" s="2">
        <f t="shared" si="1"/>
        <v>238294.0645</v>
      </c>
      <c r="I408" s="2">
        <f t="shared" si="2"/>
        <v>22</v>
      </c>
    </row>
    <row r="409" ht="14.25" customHeight="1">
      <c r="A409" s="14">
        <v>43969.0</v>
      </c>
      <c r="B409" s="15" t="s">
        <v>18</v>
      </c>
      <c r="C409" s="15">
        <v>11680.5</v>
      </c>
      <c r="D409" s="15">
        <v>936427.5</v>
      </c>
      <c r="E409" s="13">
        <f>SUMIFS('Лист2'!C:C, 'Лист2'!A:A, A409, 'Лист2'!B:B, B409)</f>
        <v>10</v>
      </c>
      <c r="F409" s="13"/>
      <c r="G409" s="13"/>
      <c r="H409" s="2">
        <f t="shared" si="1"/>
        <v>93642.75</v>
      </c>
      <c r="I409" s="2">
        <f t="shared" si="2"/>
        <v>21</v>
      </c>
    </row>
    <row r="410" ht="14.25" customHeight="1">
      <c r="A410" s="11">
        <v>43965.0</v>
      </c>
      <c r="B410" s="12" t="s">
        <v>18</v>
      </c>
      <c r="C410" s="12">
        <v>12037.5</v>
      </c>
      <c r="D410" s="12">
        <v>981564.0</v>
      </c>
      <c r="E410" s="13">
        <f>SUMIFS('Лист2'!C:C, 'Лист2'!A:A, A410, 'Лист2'!B:B, B410)</f>
        <v>10</v>
      </c>
      <c r="F410" s="13"/>
      <c r="G410" s="13"/>
      <c r="H410" s="2">
        <f t="shared" si="1"/>
        <v>98156.4</v>
      </c>
      <c r="I410" s="2">
        <f t="shared" si="2"/>
        <v>20</v>
      </c>
    </row>
    <row r="411" ht="14.25" customHeight="1">
      <c r="A411" s="14">
        <v>43966.0</v>
      </c>
      <c r="B411" s="15" t="s">
        <v>18</v>
      </c>
      <c r="C411" s="15">
        <v>14421.0</v>
      </c>
      <c r="D411" s="15">
        <v>1150579.5</v>
      </c>
      <c r="E411" s="13">
        <f>SUMIFS('Лист2'!C:C, 'Лист2'!A:A, A411, 'Лист2'!B:B, B411)</f>
        <v>10</v>
      </c>
      <c r="F411" s="13"/>
      <c r="G411" s="13"/>
      <c r="H411" s="2">
        <f t="shared" si="1"/>
        <v>115057.95</v>
      </c>
      <c r="I411" s="2">
        <f t="shared" si="2"/>
        <v>20</v>
      </c>
    </row>
    <row r="412" ht="14.25" customHeight="1">
      <c r="A412" s="11">
        <v>43980.0</v>
      </c>
      <c r="B412" s="12" t="s">
        <v>18</v>
      </c>
      <c r="C412" s="12">
        <v>14823.0</v>
      </c>
      <c r="D412" s="12">
        <v>1273464.0</v>
      </c>
      <c r="E412" s="13">
        <f>SUMIFS('Лист2'!C:C, 'Лист2'!A:A, A412, 'Лист2'!B:B, B412)</f>
        <v>10</v>
      </c>
      <c r="F412" s="13"/>
      <c r="G412" s="13"/>
      <c r="H412" s="2">
        <f t="shared" si="1"/>
        <v>127346.4</v>
      </c>
      <c r="I412" s="2">
        <f t="shared" si="2"/>
        <v>22</v>
      </c>
    </row>
    <row r="413" ht="14.25" customHeight="1">
      <c r="A413" s="14">
        <v>43978.0</v>
      </c>
      <c r="B413" s="15" t="s">
        <v>11</v>
      </c>
      <c r="C413" s="15">
        <v>31257.0</v>
      </c>
      <c r="D413" s="15">
        <v>2924133.0</v>
      </c>
      <c r="E413" s="13">
        <f>SUMIFS('Лист2'!C:C, 'Лист2'!A:A, A413, 'Лист2'!B:B, B413)</f>
        <v>20</v>
      </c>
      <c r="F413" s="13"/>
      <c r="G413" s="13"/>
      <c r="H413" s="2">
        <f t="shared" si="1"/>
        <v>146206.65</v>
      </c>
      <c r="I413" s="2">
        <f t="shared" si="2"/>
        <v>22</v>
      </c>
    </row>
    <row r="414" ht="14.25" customHeight="1">
      <c r="A414" s="11">
        <v>43973.0</v>
      </c>
      <c r="B414" s="12" t="s">
        <v>11</v>
      </c>
      <c r="C414" s="12">
        <v>38074.5</v>
      </c>
      <c r="D414" s="12">
        <v>3414180.0</v>
      </c>
      <c r="E414" s="13">
        <f>SUMIFS('Лист2'!C:C, 'Лист2'!A:A, A414, 'Лист2'!B:B, B414)</f>
        <v>20</v>
      </c>
      <c r="F414" s="13"/>
      <c r="G414" s="13"/>
      <c r="H414" s="2">
        <f t="shared" si="1"/>
        <v>170709</v>
      </c>
      <c r="I414" s="2">
        <f t="shared" si="2"/>
        <v>21</v>
      </c>
    </row>
    <row r="415" ht="14.25" customHeight="1">
      <c r="A415" s="14">
        <v>43983.0</v>
      </c>
      <c r="B415" s="15" t="s">
        <v>11</v>
      </c>
      <c r="C415" s="15">
        <v>32170.5</v>
      </c>
      <c r="D415" s="15">
        <v>3013512.0</v>
      </c>
      <c r="E415" s="13">
        <f>SUMIFS('Лист2'!C:C, 'Лист2'!A:A, A415, 'Лист2'!B:B, B415)</f>
        <v>20</v>
      </c>
      <c r="F415" s="13"/>
      <c r="G415" s="13"/>
      <c r="H415" s="2">
        <f t="shared" si="1"/>
        <v>150675.6</v>
      </c>
      <c r="I415" s="2">
        <f t="shared" si="2"/>
        <v>23</v>
      </c>
    </row>
    <row r="416" ht="14.25" customHeight="1">
      <c r="A416" s="11">
        <v>43962.0</v>
      </c>
      <c r="B416" s="12" t="s">
        <v>11</v>
      </c>
      <c r="C416" s="12">
        <v>42397.5</v>
      </c>
      <c r="D416" s="12">
        <v>3911979.0</v>
      </c>
      <c r="E416" s="13">
        <f>SUMIFS('Лист2'!C:C, 'Лист2'!A:A, A416, 'Лист2'!B:B, B416)</f>
        <v>19</v>
      </c>
      <c r="F416" s="13"/>
      <c r="G416" s="13"/>
      <c r="H416" s="2">
        <f t="shared" si="1"/>
        <v>205893.6316</v>
      </c>
      <c r="I416" s="2">
        <f t="shared" si="2"/>
        <v>20</v>
      </c>
    </row>
    <row r="417" ht="14.25" customHeight="1">
      <c r="A417" s="14">
        <v>43969.0</v>
      </c>
      <c r="B417" s="15" t="s">
        <v>11</v>
      </c>
      <c r="C417" s="15">
        <v>28668.0</v>
      </c>
      <c r="D417" s="15">
        <v>2588148.0</v>
      </c>
      <c r="E417" s="13">
        <f>SUMIFS('Лист2'!C:C, 'Лист2'!A:A, A417, 'Лист2'!B:B, B417)</f>
        <v>19</v>
      </c>
      <c r="F417" s="13"/>
      <c r="G417" s="13"/>
      <c r="H417" s="2">
        <f t="shared" si="1"/>
        <v>136218.3158</v>
      </c>
      <c r="I417" s="2">
        <f t="shared" si="2"/>
        <v>21</v>
      </c>
    </row>
    <row r="418" ht="14.25" customHeight="1">
      <c r="A418" s="11">
        <v>43965.0</v>
      </c>
      <c r="B418" s="12" t="s">
        <v>11</v>
      </c>
      <c r="C418" s="12">
        <v>27411.0</v>
      </c>
      <c r="D418" s="12">
        <v>2441520.0</v>
      </c>
      <c r="E418" s="13">
        <f>SUMIFS('Лист2'!C:C, 'Лист2'!A:A, A418, 'Лист2'!B:B, B418)</f>
        <v>19</v>
      </c>
      <c r="F418" s="13"/>
      <c r="G418" s="13"/>
      <c r="H418" s="2">
        <f t="shared" si="1"/>
        <v>128501.0526</v>
      </c>
      <c r="I418" s="2">
        <f t="shared" si="2"/>
        <v>20</v>
      </c>
    </row>
    <row r="419" ht="14.25" customHeight="1">
      <c r="A419" s="14">
        <v>43966.0</v>
      </c>
      <c r="B419" s="15" t="s">
        <v>11</v>
      </c>
      <c r="C419" s="15">
        <v>32854.5</v>
      </c>
      <c r="D419" s="15">
        <v>2949078.0</v>
      </c>
      <c r="E419" s="13">
        <f>SUMIFS('Лист2'!C:C, 'Лист2'!A:A, A419, 'Лист2'!B:B, B419)</f>
        <v>19</v>
      </c>
      <c r="F419" s="13"/>
      <c r="G419" s="13"/>
      <c r="H419" s="2">
        <f t="shared" si="1"/>
        <v>155214.6316</v>
      </c>
      <c r="I419" s="2">
        <f t="shared" si="2"/>
        <v>20</v>
      </c>
    </row>
    <row r="420" ht="14.25" customHeight="1">
      <c r="A420" s="11">
        <v>43980.0</v>
      </c>
      <c r="B420" s="12" t="s">
        <v>11</v>
      </c>
      <c r="C420" s="12">
        <v>35346.0</v>
      </c>
      <c r="D420" s="12">
        <v>3258054.0</v>
      </c>
      <c r="E420" s="13">
        <f>SUMIFS('Лист2'!C:C, 'Лист2'!A:A, A420, 'Лист2'!B:B, B420)</f>
        <v>20</v>
      </c>
      <c r="F420" s="13"/>
      <c r="G420" s="13"/>
      <c r="H420" s="2">
        <f t="shared" si="1"/>
        <v>162902.7</v>
      </c>
      <c r="I420" s="2">
        <f t="shared" si="2"/>
        <v>22</v>
      </c>
    </row>
    <row r="421" ht="14.25" customHeight="1">
      <c r="A421" s="14">
        <v>43978.0</v>
      </c>
      <c r="B421" s="15" t="s">
        <v>17</v>
      </c>
      <c r="C421" s="15">
        <v>286558.5</v>
      </c>
      <c r="D421" s="15">
        <v>2.9256993E7</v>
      </c>
      <c r="E421" s="13">
        <f>SUMIFS('Лист2'!C:C, 'Лист2'!A:A, A421, 'Лист2'!B:B, B421)</f>
        <v>129</v>
      </c>
      <c r="F421" s="13"/>
      <c r="G421" s="13"/>
      <c r="H421" s="2">
        <f t="shared" si="1"/>
        <v>226798.3953</v>
      </c>
      <c r="I421" s="2">
        <f t="shared" si="2"/>
        <v>22</v>
      </c>
    </row>
    <row r="422" ht="14.25" customHeight="1">
      <c r="A422" s="11">
        <v>43973.0</v>
      </c>
      <c r="B422" s="12" t="s">
        <v>17</v>
      </c>
      <c r="C422" s="12">
        <v>304092.0</v>
      </c>
      <c r="D422" s="12">
        <v>2.9465769E7</v>
      </c>
      <c r="E422" s="13">
        <f>SUMIFS('Лист2'!C:C, 'Лист2'!A:A, A422, 'Лист2'!B:B, B422)</f>
        <v>129</v>
      </c>
      <c r="F422" s="13"/>
      <c r="G422" s="13"/>
      <c r="H422" s="2">
        <f t="shared" si="1"/>
        <v>228416.814</v>
      </c>
      <c r="I422" s="2">
        <f t="shared" si="2"/>
        <v>21</v>
      </c>
    </row>
    <row r="423" ht="14.25" customHeight="1">
      <c r="A423" s="14">
        <v>43983.0</v>
      </c>
      <c r="B423" s="15" t="s">
        <v>17</v>
      </c>
      <c r="C423" s="15">
        <v>272926.5</v>
      </c>
      <c r="D423" s="15">
        <v>2.77700925E7</v>
      </c>
      <c r="E423" s="13">
        <f>SUMIFS('Лист2'!C:C, 'Лист2'!A:A, A423, 'Лист2'!B:B, B423)</f>
        <v>128</v>
      </c>
      <c r="F423" s="13"/>
      <c r="G423" s="13"/>
      <c r="H423" s="2">
        <f t="shared" si="1"/>
        <v>216953.8477</v>
      </c>
      <c r="I423" s="2">
        <f t="shared" si="2"/>
        <v>23</v>
      </c>
    </row>
    <row r="424" ht="14.25" customHeight="1">
      <c r="A424" s="11">
        <v>43962.0</v>
      </c>
      <c r="B424" s="12" t="s">
        <v>17</v>
      </c>
      <c r="C424" s="12">
        <v>237099.0</v>
      </c>
      <c r="D424" s="12">
        <v>2.462823322395E7</v>
      </c>
      <c r="E424" s="13">
        <f>SUMIFS('Лист2'!C:C, 'Лист2'!A:A, A424, 'Лист2'!B:B, B424)</f>
        <v>129</v>
      </c>
      <c r="F424" s="13"/>
      <c r="G424" s="13"/>
      <c r="H424" s="2">
        <f t="shared" si="1"/>
        <v>190916.5366</v>
      </c>
      <c r="I424" s="2">
        <f t="shared" si="2"/>
        <v>20</v>
      </c>
    </row>
    <row r="425" ht="14.25" customHeight="1">
      <c r="A425" s="14">
        <v>43969.0</v>
      </c>
      <c r="B425" s="15" t="s">
        <v>17</v>
      </c>
      <c r="C425" s="15">
        <v>273900.0</v>
      </c>
      <c r="D425" s="15">
        <v>2.7535284147600003E7</v>
      </c>
      <c r="E425" s="13">
        <f>SUMIFS('Лист2'!C:C, 'Лист2'!A:A, A425, 'Лист2'!B:B, B425)</f>
        <v>129</v>
      </c>
      <c r="F425" s="13"/>
      <c r="G425" s="13"/>
      <c r="H425" s="2">
        <f t="shared" si="1"/>
        <v>213451.8151</v>
      </c>
      <c r="I425" s="2">
        <f t="shared" si="2"/>
        <v>21</v>
      </c>
    </row>
    <row r="426" ht="14.25" customHeight="1">
      <c r="A426" s="11">
        <v>43965.0</v>
      </c>
      <c r="B426" s="12" t="s">
        <v>17</v>
      </c>
      <c r="C426" s="12">
        <v>274059.0</v>
      </c>
      <c r="D426" s="12">
        <v>2.8181292E7</v>
      </c>
      <c r="E426" s="13">
        <f>SUMIFS('Лист2'!C:C, 'Лист2'!A:A, A426, 'Лист2'!B:B, B426)</f>
        <v>129</v>
      </c>
      <c r="F426" s="13"/>
      <c r="G426" s="13"/>
      <c r="H426" s="2">
        <f t="shared" si="1"/>
        <v>218459.6279</v>
      </c>
      <c r="I426" s="2">
        <f t="shared" si="2"/>
        <v>20</v>
      </c>
    </row>
    <row r="427" ht="14.25" customHeight="1">
      <c r="A427" s="14">
        <v>43966.0</v>
      </c>
      <c r="B427" s="15" t="s">
        <v>17</v>
      </c>
      <c r="C427" s="15">
        <v>318816.0</v>
      </c>
      <c r="D427" s="15">
        <v>3.2354331E7</v>
      </c>
      <c r="E427" s="13">
        <f>SUMIFS('Лист2'!C:C, 'Лист2'!A:A, A427, 'Лист2'!B:B, B427)</f>
        <v>129</v>
      </c>
      <c r="F427" s="13"/>
      <c r="G427" s="13"/>
      <c r="H427" s="2">
        <f t="shared" si="1"/>
        <v>250808.7674</v>
      </c>
      <c r="I427" s="2">
        <f t="shared" si="2"/>
        <v>20</v>
      </c>
    </row>
    <row r="428" ht="14.25" customHeight="1">
      <c r="A428" s="11">
        <v>43978.0</v>
      </c>
      <c r="B428" s="12" t="s">
        <v>16</v>
      </c>
      <c r="C428" s="12">
        <v>370012.5</v>
      </c>
      <c r="D428" s="12">
        <v>3.90348615E7</v>
      </c>
      <c r="E428" s="13">
        <f>SUMIFS('Лист2'!C:C, 'Лист2'!A:A, A428, 'Лист2'!B:B, B428)</f>
        <v>124</v>
      </c>
      <c r="F428" s="13"/>
      <c r="G428" s="13"/>
      <c r="H428" s="2">
        <f t="shared" si="1"/>
        <v>314797.2702</v>
      </c>
      <c r="I428" s="2">
        <f t="shared" si="2"/>
        <v>22</v>
      </c>
    </row>
    <row r="429" ht="14.25" customHeight="1">
      <c r="A429" s="14">
        <v>43973.0</v>
      </c>
      <c r="B429" s="15" t="s">
        <v>16</v>
      </c>
      <c r="C429" s="15">
        <v>393018.0</v>
      </c>
      <c r="D429" s="15">
        <v>3.94983735E7</v>
      </c>
      <c r="E429" s="13">
        <f>SUMIFS('Лист2'!C:C, 'Лист2'!A:A, A429, 'Лист2'!B:B, B429)</f>
        <v>125</v>
      </c>
      <c r="F429" s="13"/>
      <c r="G429" s="13"/>
      <c r="H429" s="2">
        <f t="shared" si="1"/>
        <v>315986.988</v>
      </c>
      <c r="I429" s="2">
        <f t="shared" si="2"/>
        <v>21</v>
      </c>
    </row>
    <row r="430" ht="14.25" customHeight="1">
      <c r="A430" s="11">
        <v>43983.0</v>
      </c>
      <c r="B430" s="12" t="s">
        <v>16</v>
      </c>
      <c r="C430" s="12">
        <v>349699.5</v>
      </c>
      <c r="D430" s="12">
        <v>3.725784018135E7</v>
      </c>
      <c r="E430" s="13">
        <f>SUMIFS('Лист2'!C:C, 'Лист2'!A:A, A430, 'Лист2'!B:B, B430)</f>
        <v>123</v>
      </c>
      <c r="F430" s="13"/>
      <c r="G430" s="13"/>
      <c r="H430" s="2">
        <f t="shared" si="1"/>
        <v>302909.2698</v>
      </c>
      <c r="I430" s="2">
        <f t="shared" si="2"/>
        <v>23</v>
      </c>
    </row>
    <row r="431" ht="14.25" customHeight="1">
      <c r="A431" s="14">
        <v>43962.0</v>
      </c>
      <c r="B431" s="15" t="s">
        <v>16</v>
      </c>
      <c r="C431" s="15">
        <v>318565.5</v>
      </c>
      <c r="D431" s="15">
        <v>3.3781581E7</v>
      </c>
      <c r="E431" s="13">
        <f>SUMIFS('Лист2'!C:C, 'Лист2'!A:A, A431, 'Лист2'!B:B, B431)</f>
        <v>125</v>
      </c>
      <c r="F431" s="13"/>
      <c r="G431" s="13"/>
      <c r="H431" s="2">
        <f t="shared" si="1"/>
        <v>270252.648</v>
      </c>
      <c r="I431" s="2">
        <f t="shared" si="2"/>
        <v>20</v>
      </c>
    </row>
    <row r="432" ht="14.25" customHeight="1">
      <c r="A432" s="11">
        <v>43980.0</v>
      </c>
      <c r="B432" s="12" t="s">
        <v>17</v>
      </c>
      <c r="C432" s="12">
        <v>422965.5</v>
      </c>
      <c r="D432" s="12">
        <v>4.1767140105000004E7</v>
      </c>
      <c r="E432" s="13">
        <f>SUMIFS('Лист2'!C:C, 'Лист2'!A:A, A432, 'Лист2'!B:B, B432)</f>
        <v>129</v>
      </c>
      <c r="F432" s="13"/>
      <c r="G432" s="13"/>
      <c r="H432" s="2">
        <f t="shared" si="1"/>
        <v>323776.2799</v>
      </c>
      <c r="I432" s="2">
        <f t="shared" si="2"/>
        <v>22</v>
      </c>
    </row>
    <row r="433" ht="14.25" customHeight="1">
      <c r="A433" s="14">
        <v>43969.0</v>
      </c>
      <c r="B433" s="15" t="s">
        <v>16</v>
      </c>
      <c r="C433" s="15">
        <v>355081.5</v>
      </c>
      <c r="D433" s="15">
        <v>3.6876888E7</v>
      </c>
      <c r="E433" s="13">
        <f>SUMIFS('Лист2'!C:C, 'Лист2'!A:A, A433, 'Лист2'!B:B, B433)</f>
        <v>125</v>
      </c>
      <c r="F433" s="13"/>
      <c r="G433" s="13"/>
      <c r="H433" s="2">
        <f t="shared" si="1"/>
        <v>295015.104</v>
      </c>
      <c r="I433" s="2">
        <f t="shared" si="2"/>
        <v>21</v>
      </c>
    </row>
    <row r="434" ht="14.25" customHeight="1">
      <c r="A434" s="11">
        <v>43965.0</v>
      </c>
      <c r="B434" s="12" t="s">
        <v>16</v>
      </c>
      <c r="C434" s="12">
        <v>358387.5</v>
      </c>
      <c r="D434" s="12">
        <v>3.79631505E7</v>
      </c>
      <c r="E434" s="13">
        <f>SUMIFS('Лист2'!C:C, 'Лист2'!A:A, A434, 'Лист2'!B:B, B434)</f>
        <v>125</v>
      </c>
      <c r="F434" s="13"/>
      <c r="G434" s="13"/>
      <c r="H434" s="2">
        <f t="shared" si="1"/>
        <v>303705.204</v>
      </c>
      <c r="I434" s="2">
        <f t="shared" si="2"/>
        <v>20</v>
      </c>
    </row>
    <row r="435" ht="14.25" customHeight="1">
      <c r="A435" s="14">
        <v>43966.0</v>
      </c>
      <c r="B435" s="15" t="s">
        <v>16</v>
      </c>
      <c r="C435" s="15">
        <v>403261.5</v>
      </c>
      <c r="D435" s="15">
        <v>4.2271377E7</v>
      </c>
      <c r="E435" s="13">
        <f>SUMIFS('Лист2'!C:C, 'Лист2'!A:A, A435, 'Лист2'!B:B, B435)</f>
        <v>125</v>
      </c>
      <c r="F435" s="13"/>
      <c r="G435" s="13"/>
      <c r="H435" s="2">
        <f t="shared" si="1"/>
        <v>338171.016</v>
      </c>
      <c r="I435" s="2">
        <f t="shared" si="2"/>
        <v>20</v>
      </c>
    </row>
    <row r="436" ht="14.25" customHeight="1">
      <c r="A436" s="11">
        <v>43978.0</v>
      </c>
      <c r="B436" s="12" t="s">
        <v>4</v>
      </c>
      <c r="C436" s="12">
        <v>69010.5</v>
      </c>
      <c r="D436" s="12">
        <v>5985894.0</v>
      </c>
      <c r="E436" s="13">
        <f>SUMIFS('Лист2'!C:C, 'Лист2'!A:A, A436, 'Лист2'!B:B, B436)</f>
        <v>36</v>
      </c>
      <c r="F436" s="13"/>
      <c r="G436" s="13"/>
      <c r="H436" s="2">
        <f t="shared" si="1"/>
        <v>166274.8333</v>
      </c>
      <c r="I436" s="2">
        <f t="shared" si="2"/>
        <v>22</v>
      </c>
    </row>
    <row r="437" ht="14.25" customHeight="1">
      <c r="A437" s="14">
        <v>43973.0</v>
      </c>
      <c r="B437" s="15" t="s">
        <v>4</v>
      </c>
      <c r="C437" s="15">
        <v>75820.5</v>
      </c>
      <c r="D437" s="15">
        <v>5943489.0</v>
      </c>
      <c r="E437" s="13">
        <f>SUMIFS('Лист2'!C:C, 'Лист2'!A:A, A437, 'Лист2'!B:B, B437)</f>
        <v>36</v>
      </c>
      <c r="F437" s="13"/>
      <c r="G437" s="13"/>
      <c r="H437" s="2">
        <f t="shared" si="1"/>
        <v>165096.9167</v>
      </c>
      <c r="I437" s="2">
        <f t="shared" si="2"/>
        <v>21</v>
      </c>
    </row>
    <row r="438" ht="14.25" customHeight="1">
      <c r="A438" s="11">
        <v>43983.0</v>
      </c>
      <c r="B438" s="12" t="s">
        <v>4</v>
      </c>
      <c r="C438" s="12">
        <v>64740.0</v>
      </c>
      <c r="D438" s="12">
        <v>5800290.0</v>
      </c>
      <c r="E438" s="13">
        <f>SUMIFS('Лист2'!C:C, 'Лист2'!A:A, A438, 'Лист2'!B:B, B438)</f>
        <v>37</v>
      </c>
      <c r="F438" s="13"/>
      <c r="G438" s="13"/>
      <c r="H438" s="2">
        <f t="shared" si="1"/>
        <v>156764.5946</v>
      </c>
      <c r="I438" s="2">
        <f t="shared" si="2"/>
        <v>23</v>
      </c>
    </row>
    <row r="439" ht="14.25" customHeight="1">
      <c r="A439" s="14">
        <v>43962.0</v>
      </c>
      <c r="B439" s="15" t="s">
        <v>4</v>
      </c>
      <c r="C439" s="15">
        <v>59574.0</v>
      </c>
      <c r="D439" s="15">
        <v>5178169.5</v>
      </c>
      <c r="E439" s="13">
        <f>SUMIFS('Лист2'!C:C, 'Лист2'!A:A, A439, 'Лист2'!B:B, B439)</f>
        <v>36</v>
      </c>
      <c r="F439" s="13"/>
      <c r="G439" s="13"/>
      <c r="H439" s="2">
        <f t="shared" si="1"/>
        <v>143838.0417</v>
      </c>
      <c r="I439" s="2">
        <f t="shared" si="2"/>
        <v>20</v>
      </c>
    </row>
    <row r="440" ht="14.25" customHeight="1">
      <c r="A440" s="11">
        <v>43980.0</v>
      </c>
      <c r="B440" s="12" t="s">
        <v>16</v>
      </c>
      <c r="C440" s="12">
        <v>524481.0</v>
      </c>
      <c r="D440" s="12">
        <v>5.4172029E7</v>
      </c>
      <c r="E440" s="13">
        <f>SUMIFS('Лист2'!C:C, 'Лист2'!A:A, A440, 'Лист2'!B:B, B440)</f>
        <v>124</v>
      </c>
      <c r="F440" s="13"/>
      <c r="G440" s="13"/>
      <c r="H440" s="2">
        <f t="shared" si="1"/>
        <v>436871.2016</v>
      </c>
      <c r="I440" s="2">
        <f t="shared" si="2"/>
        <v>22</v>
      </c>
    </row>
    <row r="441" ht="14.25" customHeight="1">
      <c r="A441" s="14">
        <v>43969.0</v>
      </c>
      <c r="B441" s="15" t="s">
        <v>4</v>
      </c>
      <c r="C441" s="15">
        <v>70278.0</v>
      </c>
      <c r="D441" s="15">
        <v>5798476.5</v>
      </c>
      <c r="E441" s="13">
        <f>SUMIFS('Лист2'!C:C, 'Лист2'!A:A, A441, 'Лист2'!B:B, B441)</f>
        <v>36</v>
      </c>
      <c r="F441" s="13"/>
      <c r="G441" s="13"/>
      <c r="H441" s="2">
        <f t="shared" si="1"/>
        <v>161068.7917</v>
      </c>
      <c r="I441" s="2">
        <f t="shared" si="2"/>
        <v>21</v>
      </c>
    </row>
    <row r="442" ht="14.25" customHeight="1">
      <c r="A442" s="11">
        <v>43965.0</v>
      </c>
      <c r="B442" s="12" t="s">
        <v>4</v>
      </c>
      <c r="C442" s="12">
        <v>63645.0</v>
      </c>
      <c r="D442" s="12">
        <v>5366602.5</v>
      </c>
      <c r="E442" s="13">
        <f>SUMIFS('Лист2'!C:C, 'Лист2'!A:A, A442, 'Лист2'!B:B, B442)</f>
        <v>36</v>
      </c>
      <c r="F442" s="13"/>
      <c r="G442" s="13"/>
      <c r="H442" s="2">
        <f t="shared" si="1"/>
        <v>149072.2917</v>
      </c>
      <c r="I442" s="2">
        <f t="shared" si="2"/>
        <v>20</v>
      </c>
    </row>
    <row r="443" ht="14.25" customHeight="1">
      <c r="A443" s="14">
        <v>43966.0</v>
      </c>
      <c r="B443" s="15" t="s">
        <v>4</v>
      </c>
      <c r="C443" s="15">
        <v>75642.0</v>
      </c>
      <c r="D443" s="15">
        <v>6293952.0</v>
      </c>
      <c r="E443" s="13">
        <f>SUMIFS('Лист2'!C:C, 'Лист2'!A:A, A443, 'Лист2'!B:B, B443)</f>
        <v>36</v>
      </c>
      <c r="F443" s="13"/>
      <c r="G443" s="13"/>
      <c r="H443" s="2">
        <f t="shared" si="1"/>
        <v>174832</v>
      </c>
      <c r="I443" s="2">
        <f t="shared" si="2"/>
        <v>20</v>
      </c>
    </row>
    <row r="444" ht="14.25" customHeight="1">
      <c r="A444" s="11">
        <v>43978.0</v>
      </c>
      <c r="B444" s="12" t="s">
        <v>6</v>
      </c>
      <c r="C444" s="12">
        <v>40420.5</v>
      </c>
      <c r="D444" s="12">
        <v>3780852.0</v>
      </c>
      <c r="E444" s="13">
        <f>SUMIFS('Лист2'!C:C, 'Лист2'!A:A, A444, 'Лист2'!B:B, B444)</f>
        <v>21</v>
      </c>
      <c r="F444" s="13"/>
      <c r="G444" s="13"/>
      <c r="H444" s="2">
        <f t="shared" si="1"/>
        <v>180040.5714</v>
      </c>
      <c r="I444" s="2">
        <f t="shared" si="2"/>
        <v>22</v>
      </c>
    </row>
    <row r="445" ht="14.25" customHeight="1">
      <c r="A445" s="14">
        <v>43973.0</v>
      </c>
      <c r="B445" s="15" t="s">
        <v>6</v>
      </c>
      <c r="C445" s="15">
        <v>53838.0</v>
      </c>
      <c r="D445" s="15">
        <v>4840833.0</v>
      </c>
      <c r="E445" s="13">
        <f>SUMIFS('Лист2'!C:C, 'Лист2'!A:A, A445, 'Лист2'!B:B, B445)</f>
        <v>21</v>
      </c>
      <c r="F445" s="13"/>
      <c r="G445" s="13"/>
      <c r="H445" s="2">
        <f t="shared" si="1"/>
        <v>230515.8571</v>
      </c>
      <c r="I445" s="2">
        <f t="shared" si="2"/>
        <v>21</v>
      </c>
    </row>
    <row r="446" ht="14.25" customHeight="1">
      <c r="A446" s="11">
        <v>43983.0</v>
      </c>
      <c r="B446" s="12" t="s">
        <v>6</v>
      </c>
      <c r="C446" s="12">
        <v>40528.5</v>
      </c>
      <c r="D446" s="12">
        <v>3865251.0</v>
      </c>
      <c r="E446" s="13">
        <f>SUMIFS('Лист2'!C:C, 'Лист2'!A:A, A446, 'Лист2'!B:B, B446)</f>
        <v>23</v>
      </c>
      <c r="F446" s="13"/>
      <c r="G446" s="13"/>
      <c r="H446" s="2">
        <f t="shared" si="1"/>
        <v>168054.3913</v>
      </c>
      <c r="I446" s="2">
        <f t="shared" si="2"/>
        <v>23</v>
      </c>
    </row>
    <row r="447" ht="14.25" customHeight="1">
      <c r="A447" s="14">
        <v>43962.0</v>
      </c>
      <c r="B447" s="15" t="s">
        <v>6</v>
      </c>
      <c r="C447" s="15">
        <v>32733.0</v>
      </c>
      <c r="D447" s="15">
        <v>3079630.5</v>
      </c>
      <c r="E447" s="13">
        <f>SUMIFS('Лист2'!C:C, 'Лист2'!A:A, A447, 'Лист2'!B:B, B447)</f>
        <v>21</v>
      </c>
      <c r="F447" s="13"/>
      <c r="G447" s="13"/>
      <c r="H447" s="2">
        <f t="shared" si="1"/>
        <v>146649.0714</v>
      </c>
      <c r="I447" s="2">
        <f t="shared" si="2"/>
        <v>20</v>
      </c>
    </row>
    <row r="448" ht="14.25" customHeight="1">
      <c r="A448" s="11">
        <v>43980.0</v>
      </c>
      <c r="B448" s="12" t="s">
        <v>4</v>
      </c>
      <c r="C448" s="12">
        <v>84433.5</v>
      </c>
      <c r="D448" s="12">
        <v>7228395.0</v>
      </c>
      <c r="E448" s="13">
        <f>SUMIFS('Лист2'!C:C, 'Лист2'!A:A, A448, 'Лист2'!B:B, B448)</f>
        <v>37</v>
      </c>
      <c r="F448" s="13"/>
      <c r="G448" s="13"/>
      <c r="H448" s="2">
        <f t="shared" si="1"/>
        <v>195362.027</v>
      </c>
      <c r="I448" s="2">
        <f t="shared" si="2"/>
        <v>22</v>
      </c>
    </row>
    <row r="449" ht="14.25" customHeight="1">
      <c r="A449" s="14">
        <v>43969.0</v>
      </c>
      <c r="B449" s="15" t="s">
        <v>6</v>
      </c>
      <c r="C449" s="15">
        <v>36655.5</v>
      </c>
      <c r="D449" s="15">
        <v>3360135.0</v>
      </c>
      <c r="E449" s="13">
        <f>SUMIFS('Лист2'!C:C, 'Лист2'!A:A, A449, 'Лист2'!B:B, B449)</f>
        <v>21</v>
      </c>
      <c r="F449" s="13"/>
      <c r="G449" s="13"/>
      <c r="H449" s="2">
        <f t="shared" si="1"/>
        <v>160006.4286</v>
      </c>
      <c r="I449" s="2">
        <f t="shared" si="2"/>
        <v>21</v>
      </c>
    </row>
    <row r="450" ht="14.25" customHeight="1">
      <c r="A450" s="11">
        <v>43965.0</v>
      </c>
      <c r="B450" s="12" t="s">
        <v>6</v>
      </c>
      <c r="C450" s="12">
        <v>33886.5</v>
      </c>
      <c r="D450" s="12">
        <v>3166479.0</v>
      </c>
      <c r="E450" s="13">
        <f>SUMIFS('Лист2'!C:C, 'Лист2'!A:A, A450, 'Лист2'!B:B, B450)</f>
        <v>21</v>
      </c>
      <c r="F450" s="13"/>
      <c r="G450" s="13"/>
      <c r="H450" s="2">
        <f t="shared" si="1"/>
        <v>150784.7143</v>
      </c>
      <c r="I450" s="2">
        <f t="shared" si="2"/>
        <v>20</v>
      </c>
    </row>
    <row r="451" ht="14.25" customHeight="1">
      <c r="A451" s="14">
        <v>43966.0</v>
      </c>
      <c r="B451" s="15" t="s">
        <v>6</v>
      </c>
      <c r="C451" s="15">
        <v>41697.0</v>
      </c>
      <c r="D451" s="15">
        <v>3772258.5</v>
      </c>
      <c r="E451" s="13">
        <f>SUMIFS('Лист2'!C:C, 'Лист2'!A:A, A451, 'Лист2'!B:B, B451)</f>
        <v>21</v>
      </c>
      <c r="F451" s="13"/>
      <c r="G451" s="13"/>
      <c r="H451" s="2">
        <f t="shared" si="1"/>
        <v>179631.3571</v>
      </c>
      <c r="I451" s="2">
        <f t="shared" si="2"/>
        <v>20</v>
      </c>
    </row>
    <row r="452" ht="14.25" customHeight="1">
      <c r="A452" s="11">
        <v>43980.0</v>
      </c>
      <c r="B452" s="12" t="s">
        <v>6</v>
      </c>
      <c r="C452" s="12">
        <v>44569.5</v>
      </c>
      <c r="D452" s="12">
        <v>4108596.0</v>
      </c>
      <c r="E452" s="13">
        <f>SUMIFS('Лист2'!C:C, 'Лист2'!A:A, A452, 'Лист2'!B:B, B452)</f>
        <v>22</v>
      </c>
      <c r="F452" s="13"/>
      <c r="G452" s="13"/>
      <c r="H452" s="2">
        <f t="shared" si="1"/>
        <v>186754.3636</v>
      </c>
      <c r="I452" s="2">
        <f t="shared" si="2"/>
        <v>22</v>
      </c>
    </row>
    <row r="453" ht="14.25" customHeight="1">
      <c r="A453" s="14">
        <v>43978.0</v>
      </c>
      <c r="B453" s="15" t="s">
        <v>13</v>
      </c>
      <c r="C453" s="15">
        <v>18069.0</v>
      </c>
      <c r="D453" s="15">
        <v>1603084.5</v>
      </c>
      <c r="E453" s="13">
        <f>SUMIFS('Лист2'!C:C, 'Лист2'!A:A, A453, 'Лист2'!B:B, B453)</f>
        <v>17</v>
      </c>
      <c r="F453" s="13"/>
      <c r="G453" s="13"/>
      <c r="H453" s="2">
        <f t="shared" si="1"/>
        <v>94299.08824</v>
      </c>
      <c r="I453" s="2">
        <f t="shared" si="2"/>
        <v>22</v>
      </c>
    </row>
    <row r="454" ht="14.25" customHeight="1">
      <c r="A454" s="11">
        <v>43973.0</v>
      </c>
      <c r="B454" s="12" t="s">
        <v>13</v>
      </c>
      <c r="C454" s="12">
        <v>21483.0</v>
      </c>
      <c r="D454" s="12">
        <v>1774329.0</v>
      </c>
      <c r="E454" s="13">
        <f>SUMIFS('Лист2'!C:C, 'Лист2'!A:A, A454, 'Лист2'!B:B, B454)</f>
        <v>17</v>
      </c>
      <c r="F454" s="13"/>
      <c r="G454" s="13"/>
      <c r="H454" s="2">
        <f t="shared" si="1"/>
        <v>104372.2941</v>
      </c>
      <c r="I454" s="2">
        <f t="shared" si="2"/>
        <v>21</v>
      </c>
    </row>
    <row r="455" ht="14.25" customHeight="1">
      <c r="A455" s="14">
        <v>43983.0</v>
      </c>
      <c r="B455" s="15" t="s">
        <v>13</v>
      </c>
      <c r="C455" s="15">
        <v>16687.5</v>
      </c>
      <c r="D455" s="15">
        <v>1526608.5</v>
      </c>
      <c r="E455" s="13">
        <f>SUMIFS('Лист2'!C:C, 'Лист2'!A:A, A455, 'Лист2'!B:B, B455)</f>
        <v>17</v>
      </c>
      <c r="F455" s="13"/>
      <c r="G455" s="13"/>
      <c r="H455" s="2">
        <f t="shared" si="1"/>
        <v>89800.5</v>
      </c>
      <c r="I455" s="2">
        <f t="shared" si="2"/>
        <v>23</v>
      </c>
    </row>
    <row r="456" ht="14.25" customHeight="1">
      <c r="A456" s="11">
        <v>43962.0</v>
      </c>
      <c r="B456" s="12" t="s">
        <v>13</v>
      </c>
      <c r="C456" s="12">
        <v>12238.5</v>
      </c>
      <c r="D456" s="12">
        <v>1096002.0</v>
      </c>
      <c r="E456" s="13">
        <f>SUMIFS('Лист2'!C:C, 'Лист2'!A:A, A456, 'Лист2'!B:B, B456)</f>
        <v>15</v>
      </c>
      <c r="F456" s="13"/>
      <c r="G456" s="13"/>
      <c r="H456" s="2">
        <f t="shared" si="1"/>
        <v>73066.8</v>
      </c>
      <c r="I456" s="2">
        <f t="shared" si="2"/>
        <v>20</v>
      </c>
    </row>
    <row r="457" ht="14.25" customHeight="1">
      <c r="A457" s="14">
        <v>43969.0</v>
      </c>
      <c r="B457" s="15" t="s">
        <v>13</v>
      </c>
      <c r="C457" s="15">
        <v>14290.5</v>
      </c>
      <c r="D457" s="15">
        <v>1246162.5</v>
      </c>
      <c r="E457" s="13">
        <f>SUMIFS('Лист2'!C:C, 'Лист2'!A:A, A457, 'Лист2'!B:B, B457)</f>
        <v>16</v>
      </c>
      <c r="F457" s="13"/>
      <c r="G457" s="13"/>
      <c r="H457" s="2">
        <f t="shared" si="1"/>
        <v>77885.15625</v>
      </c>
      <c r="I457" s="2">
        <f t="shared" si="2"/>
        <v>21</v>
      </c>
    </row>
    <row r="458" ht="14.25" customHeight="1">
      <c r="A458" s="11">
        <v>43965.0</v>
      </c>
      <c r="B458" s="12" t="s">
        <v>13</v>
      </c>
      <c r="C458" s="12">
        <v>14385.0</v>
      </c>
      <c r="D458" s="12">
        <v>1223491.5</v>
      </c>
      <c r="E458" s="13">
        <f>SUMIFS('Лист2'!C:C, 'Лист2'!A:A, A458, 'Лист2'!B:B, B458)</f>
        <v>15</v>
      </c>
      <c r="F458" s="13"/>
      <c r="G458" s="13"/>
      <c r="H458" s="2">
        <f t="shared" si="1"/>
        <v>81566.1</v>
      </c>
      <c r="I458" s="2">
        <f t="shared" si="2"/>
        <v>20</v>
      </c>
    </row>
    <row r="459" ht="14.25" customHeight="1">
      <c r="A459" s="14">
        <v>43966.0</v>
      </c>
      <c r="B459" s="15" t="s">
        <v>13</v>
      </c>
      <c r="C459" s="15">
        <v>16498.5</v>
      </c>
      <c r="D459" s="15">
        <v>1370482.5</v>
      </c>
      <c r="E459" s="13">
        <f>SUMIFS('Лист2'!C:C, 'Лист2'!A:A, A459, 'Лист2'!B:B, B459)</f>
        <v>15</v>
      </c>
      <c r="F459" s="13"/>
      <c r="G459" s="13"/>
      <c r="H459" s="2">
        <f t="shared" si="1"/>
        <v>91365.5</v>
      </c>
      <c r="I459" s="2">
        <f t="shared" si="2"/>
        <v>20</v>
      </c>
    </row>
    <row r="460" ht="14.25" customHeight="1">
      <c r="A460" s="11">
        <v>43978.0</v>
      </c>
      <c r="B460" s="12" t="s">
        <v>14</v>
      </c>
      <c r="C460" s="12">
        <v>13203.0</v>
      </c>
      <c r="D460" s="12">
        <v>1211457.0</v>
      </c>
      <c r="E460" s="13">
        <f>SUMIFS('Лист2'!C:C, 'Лист2'!A:A, A460, 'Лист2'!B:B, B460)</f>
        <v>15</v>
      </c>
      <c r="F460" s="13"/>
      <c r="G460" s="13"/>
      <c r="H460" s="2">
        <f t="shared" si="1"/>
        <v>80763.8</v>
      </c>
      <c r="I460" s="2">
        <f t="shared" si="2"/>
        <v>22</v>
      </c>
    </row>
    <row r="461" ht="14.25" customHeight="1">
      <c r="A461" s="14">
        <v>43973.0</v>
      </c>
      <c r="B461" s="15" t="s">
        <v>14</v>
      </c>
      <c r="C461" s="15">
        <v>15802.5</v>
      </c>
      <c r="D461" s="15">
        <v>1411909.5</v>
      </c>
      <c r="E461" s="13">
        <f>SUMIFS('Лист2'!C:C, 'Лист2'!A:A, A461, 'Лист2'!B:B, B461)</f>
        <v>15</v>
      </c>
      <c r="F461" s="13"/>
      <c r="G461" s="13"/>
      <c r="H461" s="2">
        <f t="shared" si="1"/>
        <v>94127.3</v>
      </c>
      <c r="I461" s="2">
        <f t="shared" si="2"/>
        <v>21</v>
      </c>
    </row>
    <row r="462" ht="14.25" customHeight="1">
      <c r="A462" s="11">
        <v>43983.0</v>
      </c>
      <c r="B462" s="12" t="s">
        <v>14</v>
      </c>
      <c r="C462" s="12">
        <v>16476.0</v>
      </c>
      <c r="D462" s="12">
        <v>1565632.5</v>
      </c>
      <c r="E462" s="13">
        <f>SUMIFS('Лист2'!C:C, 'Лист2'!A:A, A462, 'Лист2'!B:B, B462)</f>
        <v>16</v>
      </c>
      <c r="F462" s="13"/>
      <c r="G462" s="13"/>
      <c r="H462" s="2">
        <f t="shared" si="1"/>
        <v>97852.03125</v>
      </c>
      <c r="I462" s="2">
        <f t="shared" si="2"/>
        <v>23</v>
      </c>
    </row>
    <row r="463" ht="14.25" customHeight="1">
      <c r="A463" s="14">
        <v>43962.0</v>
      </c>
      <c r="B463" s="15" t="s">
        <v>14</v>
      </c>
      <c r="C463" s="15">
        <v>12654.0</v>
      </c>
      <c r="D463" s="15">
        <v>1081158.0</v>
      </c>
      <c r="E463" s="13">
        <f>SUMIFS('Лист2'!C:C, 'Лист2'!A:A, A463, 'Лист2'!B:B, B463)</f>
        <v>15</v>
      </c>
      <c r="F463" s="13"/>
      <c r="G463" s="13"/>
      <c r="H463" s="2">
        <f t="shared" si="1"/>
        <v>72077.2</v>
      </c>
      <c r="I463" s="2">
        <f t="shared" si="2"/>
        <v>20</v>
      </c>
    </row>
    <row r="464" ht="14.25" customHeight="1">
      <c r="A464" s="11">
        <v>43980.0</v>
      </c>
      <c r="B464" s="12" t="s">
        <v>13</v>
      </c>
      <c r="C464" s="12">
        <v>19647.0</v>
      </c>
      <c r="D464" s="12">
        <v>1764669.0</v>
      </c>
      <c r="E464" s="13">
        <f>SUMIFS('Лист2'!C:C, 'Лист2'!A:A, A464, 'Лист2'!B:B, B464)</f>
        <v>17</v>
      </c>
      <c r="F464" s="13"/>
      <c r="G464" s="13"/>
      <c r="H464" s="2">
        <f t="shared" si="1"/>
        <v>103804.0588</v>
      </c>
      <c r="I464" s="2">
        <f t="shared" si="2"/>
        <v>22</v>
      </c>
    </row>
    <row r="465" ht="14.25" customHeight="1">
      <c r="A465" s="14">
        <v>43969.0</v>
      </c>
      <c r="B465" s="15" t="s">
        <v>14</v>
      </c>
      <c r="C465" s="15">
        <v>12450.0</v>
      </c>
      <c r="D465" s="15">
        <v>1115146.5</v>
      </c>
      <c r="E465" s="13">
        <f>SUMIFS('Лист2'!C:C, 'Лист2'!A:A, A465, 'Лист2'!B:B, B465)</f>
        <v>15</v>
      </c>
      <c r="F465" s="13"/>
      <c r="G465" s="13"/>
      <c r="H465" s="2">
        <f t="shared" si="1"/>
        <v>74343.1</v>
      </c>
      <c r="I465" s="2">
        <f t="shared" si="2"/>
        <v>21</v>
      </c>
    </row>
    <row r="466" ht="14.25" customHeight="1">
      <c r="A466" s="11">
        <v>43965.0</v>
      </c>
      <c r="B466" s="12" t="s">
        <v>14</v>
      </c>
      <c r="C466" s="12">
        <v>11161.5</v>
      </c>
      <c r="D466" s="12">
        <v>963502.5</v>
      </c>
      <c r="E466" s="13">
        <f>SUMIFS('Лист2'!C:C, 'Лист2'!A:A, A466, 'Лист2'!B:B, B466)</f>
        <v>15</v>
      </c>
      <c r="F466" s="13"/>
      <c r="G466" s="13"/>
      <c r="H466" s="2">
        <f t="shared" si="1"/>
        <v>64233.5</v>
      </c>
      <c r="I466" s="2">
        <f t="shared" si="2"/>
        <v>20</v>
      </c>
    </row>
    <row r="467" ht="14.25" customHeight="1">
      <c r="A467" s="14">
        <v>43966.0</v>
      </c>
      <c r="B467" s="15" t="s">
        <v>14</v>
      </c>
      <c r="C467" s="15">
        <v>12229.5</v>
      </c>
      <c r="D467" s="15">
        <v>1122730.5</v>
      </c>
      <c r="E467" s="13">
        <f>SUMIFS('Лист2'!C:C, 'Лист2'!A:A, A467, 'Лист2'!B:B, B467)</f>
        <v>15</v>
      </c>
      <c r="F467" s="13"/>
      <c r="G467" s="13"/>
      <c r="H467" s="2">
        <f t="shared" si="1"/>
        <v>74848.7</v>
      </c>
      <c r="I467" s="2">
        <f t="shared" si="2"/>
        <v>20</v>
      </c>
    </row>
    <row r="468" ht="14.25" customHeight="1">
      <c r="A468" s="11">
        <v>43978.0</v>
      </c>
      <c r="B468" s="12" t="s">
        <v>8</v>
      </c>
      <c r="C468" s="12">
        <v>28050.0</v>
      </c>
      <c r="D468" s="12">
        <v>2458555.5</v>
      </c>
      <c r="E468" s="13">
        <f>SUMIFS('Лист2'!C:C, 'Лист2'!A:A, A468, 'Лист2'!B:B, B468)</f>
        <v>20</v>
      </c>
      <c r="F468" s="13"/>
      <c r="G468" s="13"/>
      <c r="H468" s="2">
        <f t="shared" si="1"/>
        <v>122927.775</v>
      </c>
      <c r="I468" s="2">
        <f t="shared" si="2"/>
        <v>22</v>
      </c>
    </row>
    <row r="469" ht="14.25" customHeight="1">
      <c r="A469" s="14">
        <v>43973.0</v>
      </c>
      <c r="B469" s="15" t="s">
        <v>8</v>
      </c>
      <c r="C469" s="15">
        <v>30781.5</v>
      </c>
      <c r="D469" s="15">
        <v>2540715.0</v>
      </c>
      <c r="E469" s="13">
        <f>SUMIFS('Лист2'!C:C, 'Лист2'!A:A, A469, 'Лист2'!B:B, B469)</f>
        <v>19</v>
      </c>
      <c r="F469" s="13"/>
      <c r="G469" s="13"/>
      <c r="H469" s="2">
        <f t="shared" si="1"/>
        <v>133721.8421</v>
      </c>
      <c r="I469" s="2">
        <f t="shared" si="2"/>
        <v>21</v>
      </c>
    </row>
    <row r="470" ht="14.25" customHeight="1">
      <c r="A470" s="11">
        <v>43983.0</v>
      </c>
      <c r="B470" s="12" t="s">
        <v>8</v>
      </c>
      <c r="C470" s="12">
        <v>27960.0</v>
      </c>
      <c r="D470" s="12">
        <v>2538967.5</v>
      </c>
      <c r="E470" s="13">
        <f>SUMIFS('Лист2'!C:C, 'Лист2'!A:A, A470, 'Лист2'!B:B, B470)</f>
        <v>21</v>
      </c>
      <c r="F470" s="13"/>
      <c r="G470" s="13"/>
      <c r="H470" s="2">
        <f t="shared" si="1"/>
        <v>120903.2143</v>
      </c>
      <c r="I470" s="2">
        <f t="shared" si="2"/>
        <v>23</v>
      </c>
    </row>
    <row r="471" ht="14.25" customHeight="1">
      <c r="A471" s="14">
        <v>43962.0</v>
      </c>
      <c r="B471" s="15" t="s">
        <v>8</v>
      </c>
      <c r="C471" s="15">
        <v>23629.5</v>
      </c>
      <c r="D471" s="15">
        <v>2164365.0</v>
      </c>
      <c r="E471" s="13">
        <f>SUMIFS('Лист2'!C:C, 'Лист2'!A:A, A471, 'Лист2'!B:B, B471)</f>
        <v>19</v>
      </c>
      <c r="F471" s="13"/>
      <c r="G471" s="13"/>
      <c r="H471" s="2">
        <f t="shared" si="1"/>
        <v>113913.9474</v>
      </c>
      <c r="I471" s="2">
        <f t="shared" si="2"/>
        <v>20</v>
      </c>
    </row>
    <row r="472" ht="14.25" customHeight="1">
      <c r="A472" s="11">
        <v>43980.0</v>
      </c>
      <c r="B472" s="12" t="s">
        <v>14</v>
      </c>
      <c r="C472" s="12">
        <v>17052.0</v>
      </c>
      <c r="D472" s="12">
        <v>1549020.0</v>
      </c>
      <c r="E472" s="13">
        <f>SUMIFS('Лист2'!C:C, 'Лист2'!A:A, A472, 'Лист2'!B:B, B472)</f>
        <v>16</v>
      </c>
      <c r="F472" s="13"/>
      <c r="G472" s="13"/>
      <c r="H472" s="2">
        <f t="shared" si="1"/>
        <v>96813.75</v>
      </c>
      <c r="I472" s="2">
        <f t="shared" si="2"/>
        <v>22</v>
      </c>
    </row>
    <row r="473" ht="14.25" customHeight="1">
      <c r="A473" s="14">
        <v>43969.0</v>
      </c>
      <c r="B473" s="15" t="s">
        <v>8</v>
      </c>
      <c r="C473" s="15">
        <v>27181.5</v>
      </c>
      <c r="D473" s="15">
        <v>2324490.0</v>
      </c>
      <c r="E473" s="13">
        <f>SUMIFS('Лист2'!C:C, 'Лист2'!A:A, A473, 'Лист2'!B:B, B473)</f>
        <v>19</v>
      </c>
      <c r="F473" s="13"/>
      <c r="G473" s="13"/>
      <c r="H473" s="2">
        <f t="shared" si="1"/>
        <v>122341.5789</v>
      </c>
      <c r="I473" s="2">
        <f t="shared" si="2"/>
        <v>21</v>
      </c>
    </row>
    <row r="474" ht="14.25" customHeight="1">
      <c r="A474" s="11">
        <v>43965.0</v>
      </c>
      <c r="B474" s="12" t="s">
        <v>8</v>
      </c>
      <c r="C474" s="12">
        <v>25656.0</v>
      </c>
      <c r="D474" s="12">
        <v>2225341.5</v>
      </c>
      <c r="E474" s="13">
        <f>SUMIFS('Лист2'!C:C, 'Лист2'!A:A, A474, 'Лист2'!B:B, B474)</f>
        <v>19</v>
      </c>
      <c r="F474" s="13"/>
      <c r="G474" s="13"/>
      <c r="H474" s="2">
        <f t="shared" si="1"/>
        <v>117123.2368</v>
      </c>
      <c r="I474" s="2">
        <f t="shared" si="2"/>
        <v>20</v>
      </c>
    </row>
    <row r="475" ht="14.25" customHeight="1">
      <c r="A475" s="14">
        <v>43966.0</v>
      </c>
      <c r="B475" s="15" t="s">
        <v>8</v>
      </c>
      <c r="C475" s="15">
        <v>29283.0</v>
      </c>
      <c r="D475" s="15">
        <v>2477487.0</v>
      </c>
      <c r="E475" s="13">
        <f>SUMIFS('Лист2'!C:C, 'Лист2'!A:A, A475, 'Лист2'!B:B, B475)</f>
        <v>19</v>
      </c>
      <c r="F475" s="13"/>
      <c r="G475" s="13"/>
      <c r="H475" s="2">
        <f t="shared" si="1"/>
        <v>130394.0526</v>
      </c>
      <c r="I475" s="2">
        <f t="shared" si="2"/>
        <v>20</v>
      </c>
    </row>
    <row r="476" ht="14.25" customHeight="1">
      <c r="A476" s="11">
        <v>43980.0</v>
      </c>
      <c r="B476" s="12" t="s">
        <v>8</v>
      </c>
      <c r="C476" s="12">
        <v>32782.5</v>
      </c>
      <c r="D476" s="12">
        <v>2854741.5</v>
      </c>
      <c r="E476" s="13">
        <f>SUMIFS('Лист2'!C:C, 'Лист2'!A:A, A476, 'Лист2'!B:B, B476)</f>
        <v>20</v>
      </c>
      <c r="F476" s="13"/>
      <c r="G476" s="13"/>
      <c r="H476" s="2">
        <f t="shared" si="1"/>
        <v>142737.075</v>
      </c>
      <c r="I476" s="2">
        <f t="shared" si="2"/>
        <v>22</v>
      </c>
    </row>
    <row r="477" ht="14.25" customHeight="1">
      <c r="A477" s="14">
        <v>43978.0</v>
      </c>
      <c r="B477" s="15" t="s">
        <v>10</v>
      </c>
      <c r="C477" s="15">
        <v>215592.0</v>
      </c>
      <c r="D477" s="15">
        <v>2.23423005E7</v>
      </c>
      <c r="E477" s="13">
        <f>SUMIFS('Лист2'!C:C, 'Лист2'!A:A, A477, 'Лист2'!B:B, B477)</f>
        <v>59</v>
      </c>
      <c r="F477" s="13"/>
      <c r="G477" s="13"/>
      <c r="H477" s="2">
        <f t="shared" si="1"/>
        <v>378683.0593</v>
      </c>
      <c r="I477" s="2">
        <f t="shared" si="2"/>
        <v>22</v>
      </c>
    </row>
    <row r="478" ht="14.25" customHeight="1">
      <c r="A478" s="11">
        <v>43973.0</v>
      </c>
      <c r="B478" s="12" t="s">
        <v>10</v>
      </c>
      <c r="C478" s="12">
        <v>228334.5</v>
      </c>
      <c r="D478" s="12">
        <v>2.23807725E7</v>
      </c>
      <c r="E478" s="13">
        <f>SUMIFS('Лист2'!C:C, 'Лист2'!A:A, A478, 'Лист2'!B:B, B478)</f>
        <v>60</v>
      </c>
      <c r="F478" s="13"/>
      <c r="G478" s="13"/>
      <c r="H478" s="2">
        <f t="shared" si="1"/>
        <v>373012.875</v>
      </c>
      <c r="I478" s="2">
        <f t="shared" si="2"/>
        <v>21</v>
      </c>
    </row>
    <row r="479" ht="14.25" customHeight="1">
      <c r="A479" s="14">
        <v>43983.0</v>
      </c>
      <c r="B479" s="15" t="s">
        <v>10</v>
      </c>
      <c r="C479" s="15">
        <v>188776.5</v>
      </c>
      <c r="D479" s="15">
        <v>1.94653725E7</v>
      </c>
      <c r="E479" s="13">
        <f>SUMIFS('Лист2'!C:C, 'Лист2'!A:A, A479, 'Лист2'!B:B, B479)</f>
        <v>59</v>
      </c>
      <c r="F479" s="13"/>
      <c r="G479" s="13"/>
      <c r="H479" s="2">
        <f t="shared" si="1"/>
        <v>329921.5678</v>
      </c>
      <c r="I479" s="2">
        <f t="shared" si="2"/>
        <v>23</v>
      </c>
    </row>
    <row r="480" ht="14.25" customHeight="1">
      <c r="A480" s="11">
        <v>43962.0</v>
      </c>
      <c r="B480" s="12" t="s">
        <v>10</v>
      </c>
      <c r="C480" s="12">
        <v>175293.0</v>
      </c>
      <c r="D480" s="12">
        <v>1.7919144E7</v>
      </c>
      <c r="E480" s="13">
        <f>SUMIFS('Лист2'!C:C, 'Лист2'!A:A, A480, 'Лист2'!B:B, B480)</f>
        <v>60</v>
      </c>
      <c r="F480" s="13"/>
      <c r="G480" s="13"/>
      <c r="H480" s="2">
        <f t="shared" si="1"/>
        <v>298652.4</v>
      </c>
      <c r="I480" s="2">
        <f t="shared" si="2"/>
        <v>20</v>
      </c>
    </row>
    <row r="481" ht="14.25" customHeight="1">
      <c r="A481" s="14">
        <v>43969.0</v>
      </c>
      <c r="B481" s="15" t="s">
        <v>10</v>
      </c>
      <c r="C481" s="15">
        <v>201999.0</v>
      </c>
      <c r="D481" s="15">
        <v>2.04224355E7</v>
      </c>
      <c r="E481" s="13">
        <f>SUMIFS('Лист2'!C:C, 'Лист2'!A:A, A481, 'Лист2'!B:B, B481)</f>
        <v>60</v>
      </c>
      <c r="F481" s="13"/>
      <c r="G481" s="13"/>
      <c r="H481" s="2">
        <f t="shared" si="1"/>
        <v>340373.925</v>
      </c>
      <c r="I481" s="2">
        <f t="shared" si="2"/>
        <v>21</v>
      </c>
    </row>
    <row r="482" ht="14.25" customHeight="1">
      <c r="A482" s="11">
        <v>43965.0</v>
      </c>
      <c r="B482" s="12" t="s">
        <v>10</v>
      </c>
      <c r="C482" s="12">
        <v>197946.0</v>
      </c>
      <c r="D482" s="12">
        <v>1.99424355E7</v>
      </c>
      <c r="E482" s="13">
        <f>SUMIFS('Лист2'!C:C, 'Лист2'!A:A, A482, 'Лист2'!B:B, B482)</f>
        <v>60</v>
      </c>
      <c r="F482" s="13"/>
      <c r="G482" s="13"/>
      <c r="H482" s="2">
        <f t="shared" si="1"/>
        <v>332373.925</v>
      </c>
      <c r="I482" s="2">
        <f t="shared" si="2"/>
        <v>20</v>
      </c>
    </row>
    <row r="483" ht="14.25" customHeight="1">
      <c r="A483" s="14">
        <v>43966.0</v>
      </c>
      <c r="B483" s="15" t="s">
        <v>10</v>
      </c>
      <c r="C483" s="15">
        <v>230896.5</v>
      </c>
      <c r="D483" s="15">
        <v>2.3085222E7</v>
      </c>
      <c r="E483" s="13">
        <f>SUMIFS('Лист2'!C:C, 'Лист2'!A:A, A483, 'Лист2'!B:B, B483)</f>
        <v>60</v>
      </c>
      <c r="F483" s="13"/>
      <c r="G483" s="13"/>
      <c r="H483" s="2">
        <f t="shared" si="1"/>
        <v>384753.7</v>
      </c>
      <c r="I483" s="2">
        <f t="shared" si="2"/>
        <v>20</v>
      </c>
    </row>
    <row r="484" ht="14.25" customHeight="1">
      <c r="A484" s="11">
        <v>43978.0</v>
      </c>
      <c r="B484" s="12" t="s">
        <v>9</v>
      </c>
      <c r="C484" s="12">
        <v>203532.0</v>
      </c>
      <c r="D484" s="12">
        <v>2.09533245E7</v>
      </c>
      <c r="E484" s="13">
        <f>SUMIFS('Лист2'!C:C, 'Лист2'!A:A, A484, 'Лист2'!B:B, B484)</f>
        <v>54</v>
      </c>
      <c r="F484" s="13"/>
      <c r="G484" s="13"/>
      <c r="H484" s="2">
        <f t="shared" si="1"/>
        <v>388024.5278</v>
      </c>
      <c r="I484" s="2">
        <f t="shared" si="2"/>
        <v>22</v>
      </c>
    </row>
    <row r="485" ht="14.25" customHeight="1">
      <c r="A485" s="14">
        <v>43973.0</v>
      </c>
      <c r="B485" s="15" t="s">
        <v>9</v>
      </c>
      <c r="C485" s="15">
        <v>214428.0</v>
      </c>
      <c r="D485" s="15">
        <v>2.08125855E7</v>
      </c>
      <c r="E485" s="13">
        <f>SUMIFS('Лист2'!C:C, 'Лист2'!A:A, A485, 'Лист2'!B:B, B485)</f>
        <v>54</v>
      </c>
      <c r="F485" s="13"/>
      <c r="G485" s="13"/>
      <c r="H485" s="2">
        <f t="shared" si="1"/>
        <v>385418.25</v>
      </c>
      <c r="I485" s="2">
        <f t="shared" si="2"/>
        <v>21</v>
      </c>
    </row>
    <row r="486" ht="14.25" customHeight="1">
      <c r="A486" s="11">
        <v>43983.0</v>
      </c>
      <c r="B486" s="12" t="s">
        <v>9</v>
      </c>
      <c r="C486" s="12">
        <v>183228.0</v>
      </c>
      <c r="D486" s="12">
        <v>1.89141945E7</v>
      </c>
      <c r="E486" s="13">
        <f>SUMIFS('Лист2'!C:C, 'Лист2'!A:A, A486, 'Лист2'!B:B, B486)</f>
        <v>54</v>
      </c>
      <c r="F486" s="13"/>
      <c r="G486" s="13"/>
      <c r="H486" s="2">
        <f t="shared" si="1"/>
        <v>350262.8611</v>
      </c>
      <c r="I486" s="2">
        <f t="shared" si="2"/>
        <v>23</v>
      </c>
    </row>
    <row r="487" ht="14.25" customHeight="1">
      <c r="A487" s="14">
        <v>43962.0</v>
      </c>
      <c r="B487" s="15" t="s">
        <v>9</v>
      </c>
      <c r="C487" s="15">
        <v>166948.5</v>
      </c>
      <c r="D487" s="15">
        <v>1.6971231E7</v>
      </c>
      <c r="E487" s="13">
        <f>SUMIFS('Лист2'!C:C, 'Лист2'!A:A, A487, 'Лист2'!B:B, B487)</f>
        <v>54</v>
      </c>
      <c r="F487" s="13"/>
      <c r="G487" s="13"/>
      <c r="H487" s="2">
        <f t="shared" si="1"/>
        <v>314282.0556</v>
      </c>
      <c r="I487" s="2">
        <f t="shared" si="2"/>
        <v>20</v>
      </c>
    </row>
    <row r="488" ht="14.25" customHeight="1">
      <c r="A488" s="11">
        <v>43980.0</v>
      </c>
      <c r="B488" s="12" t="s">
        <v>10</v>
      </c>
      <c r="C488" s="12">
        <v>232102.5</v>
      </c>
      <c r="D488" s="12">
        <v>2.31204435E7</v>
      </c>
      <c r="E488" s="13">
        <f>SUMIFS('Лист2'!C:C, 'Лист2'!A:A, A488, 'Лист2'!B:B, B488)</f>
        <v>59</v>
      </c>
      <c r="F488" s="13"/>
      <c r="G488" s="13"/>
      <c r="H488" s="2">
        <f t="shared" si="1"/>
        <v>391871.9237</v>
      </c>
      <c r="I488" s="2">
        <f t="shared" si="2"/>
        <v>22</v>
      </c>
    </row>
    <row r="489" ht="14.25" customHeight="1">
      <c r="A489" s="14">
        <v>43969.0</v>
      </c>
      <c r="B489" s="15" t="s">
        <v>9</v>
      </c>
      <c r="C489" s="15">
        <v>196560.0</v>
      </c>
      <c r="D489" s="15">
        <v>1.9855122E7</v>
      </c>
      <c r="E489" s="13">
        <f>SUMIFS('Лист2'!C:C, 'Лист2'!A:A, A489, 'Лист2'!B:B, B489)</f>
        <v>54</v>
      </c>
      <c r="F489" s="13"/>
      <c r="G489" s="13"/>
      <c r="H489" s="2">
        <f t="shared" si="1"/>
        <v>367687.4444</v>
      </c>
      <c r="I489" s="2">
        <f t="shared" si="2"/>
        <v>21</v>
      </c>
    </row>
    <row r="490" ht="14.25" customHeight="1">
      <c r="A490" s="11">
        <v>43965.0</v>
      </c>
      <c r="B490" s="12" t="s">
        <v>9</v>
      </c>
      <c r="C490" s="12">
        <v>186496.5</v>
      </c>
      <c r="D490" s="12">
        <v>1.8640998E7</v>
      </c>
      <c r="E490" s="13">
        <f>SUMIFS('Лист2'!C:C, 'Лист2'!A:A, A490, 'Лист2'!B:B, B490)</f>
        <v>54</v>
      </c>
      <c r="F490" s="13"/>
      <c r="G490" s="13"/>
      <c r="H490" s="2">
        <f t="shared" si="1"/>
        <v>345203.6667</v>
      </c>
      <c r="I490" s="2">
        <f t="shared" si="2"/>
        <v>20</v>
      </c>
    </row>
    <row r="491" ht="14.25" customHeight="1">
      <c r="A491" s="14">
        <v>43966.0</v>
      </c>
      <c r="B491" s="15" t="s">
        <v>9</v>
      </c>
      <c r="C491" s="15">
        <v>219772.5</v>
      </c>
      <c r="D491" s="15">
        <v>2.18952945E7</v>
      </c>
      <c r="E491" s="13">
        <f>SUMIFS('Лист2'!C:C, 'Лист2'!A:A, A491, 'Лист2'!B:B, B491)</f>
        <v>54</v>
      </c>
      <c r="F491" s="13"/>
      <c r="G491" s="13"/>
      <c r="H491" s="2">
        <f t="shared" si="1"/>
        <v>405468.4167</v>
      </c>
      <c r="I491" s="2">
        <f t="shared" si="2"/>
        <v>20</v>
      </c>
    </row>
    <row r="492" ht="14.25" customHeight="1">
      <c r="A492" s="11">
        <v>43980.0</v>
      </c>
      <c r="B492" s="12" t="s">
        <v>9</v>
      </c>
      <c r="C492" s="12">
        <v>226476.0</v>
      </c>
      <c r="D492" s="12">
        <v>2.24161515E7</v>
      </c>
      <c r="E492" s="13">
        <f>SUMIFS('Лист2'!C:C, 'Лист2'!A:A, A492, 'Лист2'!B:B, B492)</f>
        <v>54</v>
      </c>
      <c r="F492" s="13"/>
      <c r="G492" s="13"/>
      <c r="H492" s="2">
        <f t="shared" si="1"/>
        <v>415113.9167</v>
      </c>
      <c r="I492" s="2">
        <f t="shared" si="2"/>
        <v>22</v>
      </c>
    </row>
    <row r="493" ht="14.25" customHeight="1">
      <c r="A493" s="14">
        <v>43978.0</v>
      </c>
      <c r="B493" s="15" t="s">
        <v>20</v>
      </c>
      <c r="C493" s="15">
        <v>8362.5</v>
      </c>
      <c r="D493" s="15">
        <v>687684.0</v>
      </c>
      <c r="E493" s="13">
        <f>SUMIFS('Лист2'!C:C, 'Лист2'!A:A, A493, 'Лист2'!B:B, B493)</f>
        <v>7</v>
      </c>
      <c r="F493" s="13"/>
      <c r="G493" s="13"/>
      <c r="H493" s="2">
        <f t="shared" si="1"/>
        <v>98240.57143</v>
      </c>
      <c r="I493" s="2">
        <f t="shared" si="2"/>
        <v>22</v>
      </c>
    </row>
    <row r="494" ht="14.25" customHeight="1">
      <c r="A494" s="11">
        <v>43973.0</v>
      </c>
      <c r="B494" s="12" t="s">
        <v>12</v>
      </c>
      <c r="C494" s="12">
        <v>17008.5</v>
      </c>
      <c r="D494" s="12">
        <v>1398771.0</v>
      </c>
      <c r="E494" s="13">
        <f>SUMIFS('Лист2'!C:C, 'Лист2'!A:A, A494, 'Лист2'!B:B, B494)</f>
        <v>18</v>
      </c>
      <c r="F494" s="13"/>
      <c r="G494" s="13"/>
      <c r="H494" s="2">
        <f t="shared" si="1"/>
        <v>77709.5</v>
      </c>
      <c r="I494" s="2">
        <f t="shared" si="2"/>
        <v>21</v>
      </c>
    </row>
    <row r="495" ht="14.25" customHeight="1">
      <c r="A495" s="14">
        <v>43983.0</v>
      </c>
      <c r="B495" s="15" t="s">
        <v>19</v>
      </c>
      <c r="C495" s="15">
        <v>5166.0</v>
      </c>
      <c r="D495" s="15">
        <v>389013.0</v>
      </c>
      <c r="E495" s="13">
        <f>SUMIFS('Лист2'!C:C, 'Лист2'!A:A, A495, 'Лист2'!B:B, B495)</f>
        <v>9</v>
      </c>
      <c r="F495" s="13"/>
      <c r="G495" s="13"/>
      <c r="H495" s="2">
        <f t="shared" si="1"/>
        <v>43223.66667</v>
      </c>
      <c r="I495" s="2">
        <f t="shared" si="2"/>
        <v>23</v>
      </c>
    </row>
    <row r="496" ht="14.25" customHeight="1">
      <c r="A496" s="11">
        <v>43962.0</v>
      </c>
      <c r="B496" s="12" t="s">
        <v>12</v>
      </c>
      <c r="C496" s="12">
        <v>10941.0</v>
      </c>
      <c r="D496" s="12">
        <v>880356.0</v>
      </c>
      <c r="E496" s="13">
        <f>SUMIFS('Лист2'!C:C, 'Лист2'!A:A, A496, 'Лист2'!B:B, B496)</f>
        <v>15</v>
      </c>
      <c r="F496" s="13"/>
      <c r="G496" s="13"/>
      <c r="H496" s="2">
        <f t="shared" si="1"/>
        <v>58690.4</v>
      </c>
      <c r="I496" s="2">
        <f t="shared" si="2"/>
        <v>20</v>
      </c>
    </row>
    <row r="497" ht="14.25" customHeight="1">
      <c r="A497" s="14">
        <v>43969.0</v>
      </c>
      <c r="B497" s="15" t="s">
        <v>12</v>
      </c>
      <c r="C497" s="15">
        <v>14497.5</v>
      </c>
      <c r="D497" s="15">
        <v>1230711.0</v>
      </c>
      <c r="E497" s="13">
        <f>SUMIFS('Лист2'!C:C, 'Лист2'!A:A, A497, 'Лист2'!B:B, B497)</f>
        <v>16</v>
      </c>
      <c r="F497" s="13"/>
      <c r="G497" s="13"/>
      <c r="H497" s="2">
        <f t="shared" si="1"/>
        <v>76919.4375</v>
      </c>
      <c r="I497" s="2">
        <f t="shared" si="2"/>
        <v>21</v>
      </c>
    </row>
    <row r="498" ht="14.25" customHeight="1">
      <c r="A498" s="11">
        <v>43965.0</v>
      </c>
      <c r="B498" s="12" t="s">
        <v>12</v>
      </c>
      <c r="C498" s="12">
        <v>13810.5</v>
      </c>
      <c r="D498" s="12">
        <v>1131676.5</v>
      </c>
      <c r="E498" s="13">
        <f>SUMIFS('Лист2'!C:C, 'Лист2'!A:A, A498, 'Лист2'!B:B, B498)</f>
        <v>16</v>
      </c>
      <c r="F498" s="13"/>
      <c r="G498" s="13"/>
      <c r="H498" s="2">
        <f t="shared" si="1"/>
        <v>70729.78125</v>
      </c>
      <c r="I498" s="2">
        <f t="shared" si="2"/>
        <v>20</v>
      </c>
    </row>
    <row r="499" ht="14.25" customHeight="1">
      <c r="A499" s="14">
        <v>43966.0</v>
      </c>
      <c r="B499" s="15" t="s">
        <v>12</v>
      </c>
      <c r="C499" s="15">
        <v>13752.0</v>
      </c>
      <c r="D499" s="15">
        <v>1091040.0</v>
      </c>
      <c r="E499" s="13">
        <f>SUMIFS('Лист2'!C:C, 'Лист2'!A:A, A499, 'Лист2'!B:B, B499)</f>
        <v>16</v>
      </c>
      <c r="F499" s="13"/>
      <c r="G499" s="13"/>
      <c r="H499" s="2">
        <f t="shared" si="1"/>
        <v>68190</v>
      </c>
      <c r="I499" s="2">
        <f t="shared" si="2"/>
        <v>20</v>
      </c>
    </row>
    <row r="500" ht="14.25" customHeight="1">
      <c r="A500" s="11">
        <v>43978.0</v>
      </c>
      <c r="B500" s="12" t="s">
        <v>12</v>
      </c>
      <c r="C500" s="12">
        <v>15276.0</v>
      </c>
      <c r="D500" s="12">
        <v>1350199.5</v>
      </c>
      <c r="E500" s="13">
        <f>SUMIFS('Лист2'!C:C, 'Лист2'!A:A, A500, 'Лист2'!B:B, B500)</f>
        <v>18</v>
      </c>
      <c r="F500" s="13"/>
      <c r="G500" s="13"/>
      <c r="H500" s="2">
        <f t="shared" si="1"/>
        <v>75011.08333</v>
      </c>
      <c r="I500" s="2">
        <f t="shared" si="2"/>
        <v>22</v>
      </c>
    </row>
    <row r="501" ht="14.25" customHeight="1">
      <c r="A501" s="14">
        <v>43983.0</v>
      </c>
      <c r="B501" s="15" t="s">
        <v>21</v>
      </c>
      <c r="C501" s="15">
        <v>4408.5</v>
      </c>
      <c r="D501" s="15">
        <v>410892.0</v>
      </c>
      <c r="E501" s="13">
        <f>SUMIFS('Лист2'!C:C, 'Лист2'!A:A, A501, 'Лист2'!B:B, B501)</f>
        <v>6</v>
      </c>
      <c r="F501" s="13"/>
      <c r="G501" s="13"/>
      <c r="H501" s="2">
        <f t="shared" si="1"/>
        <v>68482</v>
      </c>
      <c r="I501" s="2">
        <f t="shared" si="2"/>
        <v>23</v>
      </c>
    </row>
    <row r="502" ht="14.25" customHeight="1">
      <c r="A502" s="11">
        <v>43980.0</v>
      </c>
      <c r="B502" s="12" t="s">
        <v>20</v>
      </c>
      <c r="C502" s="12">
        <v>9927.0</v>
      </c>
      <c r="D502" s="12">
        <v>850840.5</v>
      </c>
      <c r="E502" s="13">
        <f>SUMIFS('Лист2'!C:C, 'Лист2'!A:A, A502, 'Лист2'!B:B, B502)</f>
        <v>7</v>
      </c>
      <c r="F502" s="13"/>
      <c r="G502" s="13"/>
      <c r="H502" s="2">
        <f t="shared" si="1"/>
        <v>121548.6429</v>
      </c>
      <c r="I502" s="2">
        <f t="shared" si="2"/>
        <v>22</v>
      </c>
    </row>
    <row r="503" ht="14.25" customHeight="1">
      <c r="A503" s="14">
        <v>43983.0</v>
      </c>
      <c r="B503" s="15" t="s">
        <v>20</v>
      </c>
      <c r="C503" s="15">
        <v>9474.0</v>
      </c>
      <c r="D503" s="15">
        <v>802447.5</v>
      </c>
      <c r="E503" s="13">
        <f>SUMIFS('Лист2'!C:C, 'Лист2'!A:A, A503, 'Лист2'!B:B, B503)</f>
        <v>7</v>
      </c>
      <c r="F503" s="13"/>
      <c r="G503" s="13"/>
      <c r="H503" s="2">
        <f t="shared" si="1"/>
        <v>114635.3571</v>
      </c>
      <c r="I503" s="2">
        <f t="shared" si="2"/>
        <v>23</v>
      </c>
    </row>
    <row r="504" ht="14.25" customHeight="1">
      <c r="A504" s="11">
        <v>43980.0</v>
      </c>
      <c r="B504" s="12" t="s">
        <v>12</v>
      </c>
      <c r="C504" s="12">
        <v>16878.0</v>
      </c>
      <c r="D504" s="12">
        <v>1438255.5</v>
      </c>
      <c r="E504" s="13">
        <f>SUMIFS('Лист2'!C:C, 'Лист2'!A:A, A504, 'Лист2'!B:B, B504)</f>
        <v>18</v>
      </c>
      <c r="F504" s="13"/>
      <c r="G504" s="13"/>
      <c r="H504" s="2">
        <f t="shared" si="1"/>
        <v>79903.08333</v>
      </c>
      <c r="I504" s="2">
        <f t="shared" si="2"/>
        <v>22</v>
      </c>
    </row>
    <row r="505" ht="14.25" customHeight="1">
      <c r="A505" s="16">
        <v>43983.0</v>
      </c>
      <c r="B505" s="17" t="s">
        <v>12</v>
      </c>
      <c r="C505" s="17">
        <v>14238.0</v>
      </c>
      <c r="D505" s="17">
        <v>1293219.0</v>
      </c>
      <c r="E505" s="13">
        <f>SUMIFS('Лист2'!C:C, 'Лист2'!A:A, A505, 'Лист2'!B:B, B505)</f>
        <v>18</v>
      </c>
      <c r="F505" s="13"/>
      <c r="G505" s="13"/>
      <c r="H505" s="2">
        <f t="shared" si="1"/>
        <v>71845.5</v>
      </c>
      <c r="I505" s="2">
        <f t="shared" si="2"/>
        <v>23</v>
      </c>
    </row>
    <row r="506" ht="14.25" customHeight="1">
      <c r="A506" s="18">
        <v>43949.0</v>
      </c>
      <c r="B506" s="13" t="s">
        <v>4</v>
      </c>
      <c r="C506" s="13"/>
      <c r="D506" s="13"/>
      <c r="E506" s="13">
        <f>SUMIFS('Лист2'!C:C, 'Лист2'!A:A, A506, 'Лист2'!B:B, B506)</f>
        <v>36</v>
      </c>
      <c r="F506" s="19">
        <v>4923.0</v>
      </c>
      <c r="G506" s="19">
        <v>4560.0</v>
      </c>
      <c r="H506" s="2">
        <f t="shared" si="1"/>
        <v>0</v>
      </c>
      <c r="I506" s="2">
        <f t="shared" si="2"/>
        <v>18</v>
      </c>
    </row>
    <row r="507" ht="14.25" customHeight="1">
      <c r="A507" s="18">
        <v>43949.0</v>
      </c>
      <c r="B507" s="13" t="s">
        <v>5</v>
      </c>
      <c r="C507" s="13"/>
      <c r="D507" s="13"/>
      <c r="E507" s="13">
        <f>SUMIFS('Лист2'!C:C, 'Лист2'!A:A, A507, 'Лист2'!B:B, B507)</f>
        <v>31</v>
      </c>
      <c r="F507" s="19">
        <v>5465.0</v>
      </c>
      <c r="G507" s="19">
        <v>5096.0</v>
      </c>
      <c r="H507" s="2">
        <f t="shared" si="1"/>
        <v>0</v>
      </c>
      <c r="I507" s="2">
        <f t="shared" si="2"/>
        <v>18</v>
      </c>
    </row>
    <row r="508" ht="14.25" customHeight="1">
      <c r="A508" s="18">
        <v>43949.0</v>
      </c>
      <c r="B508" s="13" t="s">
        <v>6</v>
      </c>
      <c r="C508" s="13"/>
      <c r="D508" s="13"/>
      <c r="E508" s="13">
        <f>SUMIFS('Лист2'!C:C, 'Лист2'!A:A, A508, 'Лист2'!B:B, B508)</f>
        <v>19</v>
      </c>
      <c r="F508" s="19">
        <v>1846.0</v>
      </c>
      <c r="G508" s="19">
        <v>1681.0</v>
      </c>
      <c r="H508" s="2">
        <f t="shared" si="1"/>
        <v>0</v>
      </c>
      <c r="I508" s="2">
        <f t="shared" si="2"/>
        <v>18</v>
      </c>
    </row>
    <row r="509" ht="14.25" customHeight="1">
      <c r="A509" s="18">
        <v>43949.0</v>
      </c>
      <c r="B509" s="13" t="s">
        <v>7</v>
      </c>
      <c r="C509" s="13"/>
      <c r="D509" s="13"/>
      <c r="E509" s="13">
        <f>SUMIFS('Лист2'!C:C, 'Лист2'!A:A, A509, 'Лист2'!B:B, B509)</f>
        <v>18</v>
      </c>
      <c r="F509" s="19">
        <v>1539.0</v>
      </c>
      <c r="G509" s="19">
        <v>1404.0</v>
      </c>
      <c r="H509" s="2">
        <f t="shared" si="1"/>
        <v>0</v>
      </c>
      <c r="I509" s="2">
        <f t="shared" si="2"/>
        <v>18</v>
      </c>
    </row>
    <row r="510" ht="14.25" customHeight="1">
      <c r="A510" s="18">
        <v>43949.0</v>
      </c>
      <c r="B510" s="13" t="s">
        <v>8</v>
      </c>
      <c r="C510" s="13"/>
      <c r="D510" s="13"/>
      <c r="E510" s="13">
        <f>SUMIFS('Лист2'!C:C, 'Лист2'!A:A, A510, 'Лист2'!B:B, B510)</f>
        <v>18</v>
      </c>
      <c r="F510" s="19">
        <v>1505.0</v>
      </c>
      <c r="G510" s="19">
        <v>1368.0</v>
      </c>
      <c r="H510" s="2">
        <f t="shared" si="1"/>
        <v>0</v>
      </c>
      <c r="I510" s="2">
        <f t="shared" si="2"/>
        <v>18</v>
      </c>
    </row>
    <row r="511" ht="14.25" customHeight="1">
      <c r="A511" s="18">
        <v>43949.0</v>
      </c>
      <c r="B511" s="13" t="s">
        <v>9</v>
      </c>
      <c r="C511" s="13"/>
      <c r="D511" s="13"/>
      <c r="E511" s="13">
        <f>SUMIFS('Лист2'!C:C, 'Лист2'!A:A, A511, 'Лист2'!B:B, B511)</f>
        <v>54</v>
      </c>
      <c r="F511" s="19">
        <v>12306.0</v>
      </c>
      <c r="G511" s="19">
        <v>11532.0</v>
      </c>
      <c r="H511" s="2">
        <f t="shared" si="1"/>
        <v>0</v>
      </c>
      <c r="I511" s="2">
        <f t="shared" si="2"/>
        <v>18</v>
      </c>
    </row>
    <row r="512" ht="14.25" customHeight="1">
      <c r="A512" s="18">
        <v>43949.0</v>
      </c>
      <c r="B512" s="13" t="s">
        <v>10</v>
      </c>
      <c r="C512" s="13"/>
      <c r="D512" s="13"/>
      <c r="E512" s="13">
        <f>SUMIFS('Лист2'!C:C, 'Лист2'!A:A, A512, 'Лист2'!B:B, B512)</f>
        <v>59</v>
      </c>
      <c r="F512" s="19">
        <v>12943.0</v>
      </c>
      <c r="G512" s="19">
        <v>12072.0</v>
      </c>
      <c r="H512" s="2">
        <f t="shared" si="1"/>
        <v>0</v>
      </c>
      <c r="I512" s="2">
        <f t="shared" si="2"/>
        <v>18</v>
      </c>
    </row>
    <row r="513" ht="14.25" customHeight="1">
      <c r="A513" s="18">
        <v>43949.0</v>
      </c>
      <c r="B513" s="13" t="s">
        <v>11</v>
      </c>
      <c r="C513" s="13"/>
      <c r="D513" s="13"/>
      <c r="E513" s="13">
        <f>SUMIFS('Лист2'!C:C, 'Лист2'!A:A, A513, 'Лист2'!B:B, B513)</f>
        <v>17</v>
      </c>
      <c r="F513" s="19">
        <v>1439.0</v>
      </c>
      <c r="G513" s="19">
        <v>1265.0</v>
      </c>
      <c r="H513" s="2">
        <f t="shared" si="1"/>
        <v>0</v>
      </c>
      <c r="I513" s="2">
        <f t="shared" si="2"/>
        <v>18</v>
      </c>
    </row>
    <row r="514" ht="14.25" customHeight="1">
      <c r="A514" s="18">
        <v>43949.0</v>
      </c>
      <c r="B514" s="13" t="s">
        <v>12</v>
      </c>
      <c r="C514" s="13"/>
      <c r="D514" s="13"/>
      <c r="E514" s="13">
        <f>SUMIFS('Лист2'!C:C, 'Лист2'!A:A, A514, 'Лист2'!B:B, B514)</f>
        <v>15</v>
      </c>
      <c r="F514" s="19">
        <v>636.0</v>
      </c>
      <c r="G514" s="19">
        <v>547.0</v>
      </c>
      <c r="H514" s="2">
        <f t="shared" si="1"/>
        <v>0</v>
      </c>
      <c r="I514" s="2">
        <f t="shared" si="2"/>
        <v>18</v>
      </c>
    </row>
    <row r="515" ht="14.25" customHeight="1">
      <c r="A515" s="18">
        <v>43949.0</v>
      </c>
      <c r="B515" s="13" t="s">
        <v>13</v>
      </c>
      <c r="C515" s="13"/>
      <c r="D515" s="13"/>
      <c r="E515" s="13">
        <f>SUMIFS('Лист2'!C:C, 'Лист2'!A:A, A515, 'Лист2'!B:B, B515)</f>
        <v>15</v>
      </c>
      <c r="F515" s="19">
        <v>780.0</v>
      </c>
      <c r="G515" s="19">
        <v>690.0</v>
      </c>
      <c r="H515" s="2">
        <f t="shared" si="1"/>
        <v>0</v>
      </c>
      <c r="I515" s="2">
        <f t="shared" si="2"/>
        <v>18</v>
      </c>
    </row>
    <row r="516" ht="14.25" customHeight="1">
      <c r="A516" s="18">
        <v>43949.0</v>
      </c>
      <c r="B516" s="13" t="s">
        <v>16</v>
      </c>
      <c r="C516" s="13"/>
      <c r="D516" s="13"/>
      <c r="E516" s="13">
        <f>SUMIFS('Лист2'!C:C, 'Лист2'!A:A, A516, 'Лист2'!B:B, B516)</f>
        <v>125</v>
      </c>
      <c r="F516" s="19">
        <v>20914.0</v>
      </c>
      <c r="G516" s="19">
        <v>19479.0</v>
      </c>
      <c r="H516" s="2">
        <f t="shared" si="1"/>
        <v>0</v>
      </c>
      <c r="I516" s="2">
        <f t="shared" si="2"/>
        <v>18</v>
      </c>
    </row>
    <row r="517" ht="14.25" customHeight="1">
      <c r="A517" s="18">
        <v>43949.0</v>
      </c>
      <c r="B517" s="13" t="s">
        <v>17</v>
      </c>
      <c r="C517" s="13"/>
      <c r="D517" s="13"/>
      <c r="E517" s="13">
        <f>SUMIFS('Лист2'!C:C, 'Лист2'!A:A, A517, 'Лист2'!B:B, B517)</f>
        <v>128</v>
      </c>
      <c r="F517" s="19">
        <v>16450.0</v>
      </c>
      <c r="G517" s="19">
        <v>15320.0</v>
      </c>
      <c r="H517" s="2">
        <f t="shared" si="1"/>
        <v>0</v>
      </c>
      <c r="I517" s="2">
        <f t="shared" si="2"/>
        <v>18</v>
      </c>
    </row>
    <row r="518" ht="14.25" customHeight="1">
      <c r="A518" s="18">
        <v>43949.0</v>
      </c>
      <c r="B518" s="13" t="s">
        <v>18</v>
      </c>
      <c r="C518" s="13"/>
      <c r="D518" s="13"/>
      <c r="E518" s="13">
        <f>SUMIFS('Лист2'!C:C, 'Лист2'!A:A, A518, 'Лист2'!B:B, B518)</f>
        <v>10</v>
      </c>
      <c r="F518" s="19">
        <v>580.0</v>
      </c>
      <c r="G518" s="19">
        <v>506.0</v>
      </c>
      <c r="H518" s="2">
        <f t="shared" si="1"/>
        <v>0</v>
      </c>
      <c r="I518" s="2">
        <f t="shared" si="2"/>
        <v>18</v>
      </c>
    </row>
    <row r="519" ht="14.25" customHeight="1">
      <c r="A519" s="18">
        <v>43950.0</v>
      </c>
      <c r="B519" s="13" t="s">
        <v>4</v>
      </c>
      <c r="C519" s="13"/>
      <c r="D519" s="13"/>
      <c r="E519" s="13">
        <f>SUMIFS('Лист2'!C:C, 'Лист2'!A:A, A519, 'Лист2'!B:B, B519)</f>
        <v>36</v>
      </c>
      <c r="F519" s="19">
        <v>4937.0</v>
      </c>
      <c r="G519" s="19">
        <v>4561.0</v>
      </c>
      <c r="H519" s="2">
        <f t="shared" si="1"/>
        <v>0</v>
      </c>
      <c r="I519" s="2">
        <f t="shared" si="2"/>
        <v>18</v>
      </c>
    </row>
    <row r="520" ht="14.25" customHeight="1">
      <c r="A520" s="18">
        <v>43950.0</v>
      </c>
      <c r="B520" s="13" t="s">
        <v>5</v>
      </c>
      <c r="C520" s="13"/>
      <c r="D520" s="13"/>
      <c r="E520" s="13">
        <f>SUMIFS('Лист2'!C:C, 'Лист2'!A:A, A520, 'Лист2'!B:B, B520)</f>
        <v>31</v>
      </c>
      <c r="F520" s="19">
        <v>5378.0</v>
      </c>
      <c r="G520" s="19">
        <v>4985.0</v>
      </c>
      <c r="H520" s="2">
        <f t="shared" si="1"/>
        <v>0</v>
      </c>
      <c r="I520" s="2">
        <f t="shared" si="2"/>
        <v>18</v>
      </c>
    </row>
    <row r="521" ht="14.25" customHeight="1">
      <c r="A521" s="18">
        <v>43950.0</v>
      </c>
      <c r="B521" s="13" t="s">
        <v>6</v>
      </c>
      <c r="C521" s="13"/>
      <c r="D521" s="13"/>
      <c r="E521" s="13">
        <f>SUMIFS('Лист2'!C:C, 'Лист2'!A:A, A521, 'Лист2'!B:B, B521)</f>
        <v>19</v>
      </c>
      <c r="F521" s="19">
        <v>1676.0</v>
      </c>
      <c r="G521" s="19">
        <v>1516.0</v>
      </c>
      <c r="H521" s="2">
        <f t="shared" si="1"/>
        <v>0</v>
      </c>
      <c r="I521" s="2">
        <f t="shared" si="2"/>
        <v>18</v>
      </c>
    </row>
    <row r="522" ht="14.25" customHeight="1">
      <c r="A522" s="18">
        <v>43950.0</v>
      </c>
      <c r="B522" s="13" t="s">
        <v>7</v>
      </c>
      <c r="C522" s="13"/>
      <c r="D522" s="13"/>
      <c r="E522" s="13">
        <f>SUMIFS('Лист2'!C:C, 'Лист2'!A:A, A522, 'Лист2'!B:B, B522)</f>
        <v>18</v>
      </c>
      <c r="F522" s="19">
        <v>1684.0</v>
      </c>
      <c r="G522" s="19">
        <v>1528.0</v>
      </c>
      <c r="H522" s="2">
        <f t="shared" si="1"/>
        <v>0</v>
      </c>
      <c r="I522" s="2">
        <f t="shared" si="2"/>
        <v>18</v>
      </c>
    </row>
    <row r="523" ht="14.25" customHeight="1">
      <c r="A523" s="18">
        <v>43950.0</v>
      </c>
      <c r="B523" s="13" t="s">
        <v>8</v>
      </c>
      <c r="C523" s="13"/>
      <c r="D523" s="13"/>
      <c r="E523" s="13">
        <f>SUMIFS('Лист2'!C:C, 'Лист2'!A:A, A523, 'Лист2'!B:B, B523)</f>
        <v>18</v>
      </c>
      <c r="F523" s="19">
        <v>1599.0</v>
      </c>
      <c r="G523" s="19">
        <v>1450.0</v>
      </c>
      <c r="H523" s="2">
        <f t="shared" si="1"/>
        <v>0</v>
      </c>
      <c r="I523" s="2">
        <f t="shared" si="2"/>
        <v>18</v>
      </c>
    </row>
    <row r="524" ht="14.25" customHeight="1">
      <c r="A524" s="18">
        <v>43950.0</v>
      </c>
      <c r="B524" s="13" t="s">
        <v>9</v>
      </c>
      <c r="C524" s="13"/>
      <c r="D524" s="13"/>
      <c r="E524" s="13">
        <f>SUMIFS('Лист2'!C:C, 'Лист2'!A:A, A524, 'Лист2'!B:B, B524)</f>
        <v>54</v>
      </c>
      <c r="F524" s="19">
        <v>12747.0</v>
      </c>
      <c r="G524" s="19">
        <v>11884.0</v>
      </c>
      <c r="H524" s="2">
        <f t="shared" si="1"/>
        <v>0</v>
      </c>
      <c r="I524" s="2">
        <f t="shared" si="2"/>
        <v>18</v>
      </c>
    </row>
    <row r="525" ht="14.25" customHeight="1">
      <c r="A525" s="18">
        <v>43950.0</v>
      </c>
      <c r="B525" s="13" t="s">
        <v>10</v>
      </c>
      <c r="C525" s="13"/>
      <c r="D525" s="13"/>
      <c r="E525" s="13">
        <f>SUMIFS('Лист2'!C:C, 'Лист2'!A:A, A525, 'Лист2'!B:B, B525)</f>
        <v>59</v>
      </c>
      <c r="F525" s="19">
        <v>13186.0</v>
      </c>
      <c r="G525" s="19">
        <v>12251.0</v>
      </c>
      <c r="H525" s="2">
        <f t="shared" si="1"/>
        <v>0</v>
      </c>
      <c r="I525" s="2">
        <f t="shared" si="2"/>
        <v>18</v>
      </c>
    </row>
    <row r="526" ht="14.25" customHeight="1">
      <c r="A526" s="18">
        <v>43950.0</v>
      </c>
      <c r="B526" s="13" t="s">
        <v>11</v>
      </c>
      <c r="C526" s="13"/>
      <c r="D526" s="13"/>
      <c r="E526" s="13">
        <f>SUMIFS('Лист2'!C:C, 'Лист2'!A:A, A526, 'Лист2'!B:B, B526)</f>
        <v>18</v>
      </c>
      <c r="F526" s="19">
        <v>1534.0</v>
      </c>
      <c r="G526" s="19">
        <v>1369.0</v>
      </c>
      <c r="H526" s="2">
        <f t="shared" si="1"/>
        <v>0</v>
      </c>
      <c r="I526" s="2">
        <f t="shared" si="2"/>
        <v>18</v>
      </c>
    </row>
    <row r="527" ht="14.25" customHeight="1">
      <c r="A527" s="18">
        <v>43950.0</v>
      </c>
      <c r="B527" s="13" t="s">
        <v>12</v>
      </c>
      <c r="C527" s="13"/>
      <c r="D527" s="13"/>
      <c r="E527" s="13">
        <f>SUMIFS('Лист2'!C:C, 'Лист2'!A:A, A527, 'Лист2'!B:B, B527)</f>
        <v>15</v>
      </c>
      <c r="F527" s="19">
        <v>659.0</v>
      </c>
      <c r="G527" s="19">
        <v>575.0</v>
      </c>
      <c r="H527" s="2">
        <f t="shared" si="1"/>
        <v>0</v>
      </c>
      <c r="I527" s="2">
        <f t="shared" si="2"/>
        <v>18</v>
      </c>
    </row>
    <row r="528" ht="14.25" customHeight="1">
      <c r="A528" s="18">
        <v>43950.0</v>
      </c>
      <c r="B528" s="13" t="s">
        <v>13</v>
      </c>
      <c r="C528" s="13"/>
      <c r="D528" s="13"/>
      <c r="E528" s="13">
        <f>SUMIFS('Лист2'!C:C, 'Лист2'!A:A, A528, 'Лист2'!B:B, B528)</f>
        <v>15</v>
      </c>
      <c r="F528" s="19">
        <v>786.0</v>
      </c>
      <c r="G528" s="19">
        <v>695.0</v>
      </c>
      <c r="H528" s="2">
        <f t="shared" si="1"/>
        <v>0</v>
      </c>
      <c r="I528" s="2">
        <f t="shared" si="2"/>
        <v>18</v>
      </c>
    </row>
    <row r="529" ht="14.25" customHeight="1">
      <c r="A529" s="18">
        <v>43950.0</v>
      </c>
      <c r="B529" s="13" t="s">
        <v>16</v>
      </c>
      <c r="C529" s="13"/>
      <c r="D529" s="13"/>
      <c r="E529" s="13">
        <f>SUMIFS('Лист2'!C:C, 'Лист2'!A:A, A529, 'Лист2'!B:B, B529)</f>
        <v>125</v>
      </c>
      <c r="F529" s="19">
        <v>21863.0</v>
      </c>
      <c r="G529" s="19">
        <v>20160.0</v>
      </c>
      <c r="H529" s="2">
        <f t="shared" si="1"/>
        <v>0</v>
      </c>
      <c r="I529" s="2">
        <f t="shared" si="2"/>
        <v>18</v>
      </c>
    </row>
    <row r="530" ht="14.25" customHeight="1">
      <c r="A530" s="18">
        <v>43950.0</v>
      </c>
      <c r="B530" s="13" t="s">
        <v>17</v>
      </c>
      <c r="C530" s="13"/>
      <c r="D530" s="13"/>
      <c r="E530" s="13">
        <f>SUMIFS('Лист2'!C:C, 'Лист2'!A:A, A530, 'Лист2'!B:B, B530)</f>
        <v>128</v>
      </c>
      <c r="F530" s="19">
        <v>17368.0</v>
      </c>
      <c r="G530" s="19">
        <v>16077.0</v>
      </c>
      <c r="H530" s="2">
        <f t="shared" si="1"/>
        <v>0</v>
      </c>
      <c r="I530" s="2">
        <f t="shared" si="2"/>
        <v>18</v>
      </c>
    </row>
    <row r="531" ht="14.25" customHeight="1">
      <c r="A531" s="18">
        <v>43950.0</v>
      </c>
      <c r="B531" s="13" t="s">
        <v>18</v>
      </c>
      <c r="C531" s="13"/>
      <c r="D531" s="13"/>
      <c r="E531" s="13">
        <f>SUMIFS('Лист2'!C:C, 'Лист2'!A:A, A531, 'Лист2'!B:B, B531)</f>
        <v>10</v>
      </c>
      <c r="F531" s="19">
        <v>502.0</v>
      </c>
      <c r="G531" s="19">
        <v>433.0</v>
      </c>
      <c r="H531" s="2">
        <f t="shared" si="1"/>
        <v>0</v>
      </c>
      <c r="I531" s="2">
        <f t="shared" si="2"/>
        <v>18</v>
      </c>
    </row>
    <row r="532" ht="14.25" customHeight="1">
      <c r="A532" s="18">
        <v>43951.0</v>
      </c>
      <c r="B532" s="13" t="s">
        <v>4</v>
      </c>
      <c r="C532" s="13"/>
      <c r="D532" s="13"/>
      <c r="E532" s="13">
        <f>SUMIFS('Лист2'!C:C, 'Лист2'!A:A, A532, 'Лист2'!B:B, B532)</f>
        <v>36</v>
      </c>
      <c r="F532" s="19">
        <v>5143.0</v>
      </c>
      <c r="G532" s="19">
        <v>4715.0</v>
      </c>
      <c r="H532" s="2">
        <f t="shared" si="1"/>
        <v>0</v>
      </c>
      <c r="I532" s="2">
        <f t="shared" si="2"/>
        <v>18</v>
      </c>
    </row>
    <row r="533" ht="14.25" customHeight="1">
      <c r="A533" s="18">
        <v>43951.0</v>
      </c>
      <c r="B533" s="13" t="s">
        <v>5</v>
      </c>
      <c r="C533" s="13"/>
      <c r="D533" s="13"/>
      <c r="E533" s="13">
        <f>SUMIFS('Лист2'!C:C, 'Лист2'!A:A, A533, 'Лист2'!B:B, B533)</f>
        <v>31</v>
      </c>
      <c r="F533" s="19">
        <v>5120.0</v>
      </c>
      <c r="G533" s="19">
        <v>4737.0</v>
      </c>
      <c r="H533" s="2">
        <f t="shared" si="1"/>
        <v>0</v>
      </c>
      <c r="I533" s="2">
        <f t="shared" si="2"/>
        <v>18</v>
      </c>
    </row>
    <row r="534" ht="14.25" customHeight="1">
      <c r="A534" s="18">
        <v>43951.0</v>
      </c>
      <c r="B534" s="13" t="s">
        <v>6</v>
      </c>
      <c r="C534" s="13"/>
      <c r="D534" s="13"/>
      <c r="E534" s="13">
        <f>SUMIFS('Лист2'!C:C, 'Лист2'!A:A, A534, 'Лист2'!B:B, B534)</f>
        <v>20</v>
      </c>
      <c r="F534" s="19">
        <v>1756.0</v>
      </c>
      <c r="G534" s="19">
        <v>1586.0</v>
      </c>
      <c r="H534" s="2">
        <f t="shared" si="1"/>
        <v>0</v>
      </c>
      <c r="I534" s="2">
        <f t="shared" si="2"/>
        <v>18</v>
      </c>
    </row>
    <row r="535" ht="14.25" customHeight="1">
      <c r="A535" s="18">
        <v>43951.0</v>
      </c>
      <c r="B535" s="13" t="s">
        <v>7</v>
      </c>
      <c r="C535" s="13"/>
      <c r="D535" s="13"/>
      <c r="E535" s="13">
        <f>SUMIFS('Лист2'!C:C, 'Лист2'!A:A, A535, 'Лист2'!B:B, B535)</f>
        <v>19</v>
      </c>
      <c r="F535" s="19">
        <v>1712.0</v>
      </c>
      <c r="G535" s="19">
        <v>1552.0</v>
      </c>
      <c r="H535" s="2">
        <f t="shared" si="1"/>
        <v>0</v>
      </c>
      <c r="I535" s="2">
        <f t="shared" si="2"/>
        <v>18</v>
      </c>
    </row>
    <row r="536" ht="14.25" customHeight="1">
      <c r="A536" s="18">
        <v>43951.0</v>
      </c>
      <c r="B536" s="13" t="s">
        <v>8</v>
      </c>
      <c r="C536" s="13"/>
      <c r="D536" s="13"/>
      <c r="E536" s="13">
        <f>SUMIFS('Лист2'!C:C, 'Лист2'!A:A, A536, 'Лист2'!B:B, B536)</f>
        <v>19</v>
      </c>
      <c r="F536" s="19">
        <v>1662.0</v>
      </c>
      <c r="G536" s="19">
        <v>1506.0</v>
      </c>
      <c r="H536" s="2">
        <f t="shared" si="1"/>
        <v>0</v>
      </c>
      <c r="I536" s="2">
        <f t="shared" si="2"/>
        <v>18</v>
      </c>
    </row>
    <row r="537" ht="14.25" customHeight="1">
      <c r="A537" s="18">
        <v>43951.0</v>
      </c>
      <c r="B537" s="13" t="s">
        <v>9</v>
      </c>
      <c r="C537" s="13"/>
      <c r="D537" s="13"/>
      <c r="E537" s="13">
        <f>SUMIFS('Лист2'!C:C, 'Лист2'!A:A, A537, 'Лист2'!B:B, B537)</f>
        <v>54</v>
      </c>
      <c r="F537" s="19">
        <v>12817.0</v>
      </c>
      <c r="G537" s="19">
        <v>11865.0</v>
      </c>
      <c r="H537" s="2">
        <f t="shared" si="1"/>
        <v>0</v>
      </c>
      <c r="I537" s="2">
        <f t="shared" si="2"/>
        <v>18</v>
      </c>
    </row>
    <row r="538" ht="14.25" customHeight="1">
      <c r="A538" s="18">
        <v>43951.0</v>
      </c>
      <c r="B538" s="13" t="s">
        <v>10</v>
      </c>
      <c r="C538" s="13"/>
      <c r="D538" s="13"/>
      <c r="E538" s="13">
        <f>SUMIFS('Лист2'!C:C, 'Лист2'!A:A, A538, 'Лист2'!B:B, B538)</f>
        <v>59</v>
      </c>
      <c r="F538" s="19">
        <v>13251.0</v>
      </c>
      <c r="G538" s="19">
        <v>12255.0</v>
      </c>
      <c r="H538" s="2">
        <f t="shared" si="1"/>
        <v>0</v>
      </c>
      <c r="I538" s="2">
        <f t="shared" si="2"/>
        <v>18</v>
      </c>
    </row>
    <row r="539" ht="14.25" customHeight="1">
      <c r="A539" s="18">
        <v>43951.0</v>
      </c>
      <c r="B539" s="13" t="s">
        <v>11</v>
      </c>
      <c r="C539" s="13"/>
      <c r="D539" s="13"/>
      <c r="E539" s="13">
        <f>SUMIFS('Лист2'!C:C, 'Лист2'!A:A, A539, 'Лист2'!B:B, B539)</f>
        <v>19</v>
      </c>
      <c r="F539" s="19">
        <v>1499.0</v>
      </c>
      <c r="G539" s="19">
        <v>1322.0</v>
      </c>
      <c r="H539" s="2">
        <f t="shared" si="1"/>
        <v>0</v>
      </c>
      <c r="I539" s="2">
        <f t="shared" si="2"/>
        <v>18</v>
      </c>
    </row>
    <row r="540" ht="14.25" customHeight="1">
      <c r="A540" s="18">
        <v>43951.0</v>
      </c>
      <c r="B540" s="13" t="s">
        <v>12</v>
      </c>
      <c r="C540" s="13"/>
      <c r="D540" s="13"/>
      <c r="E540" s="13">
        <f>SUMIFS('Лист2'!C:C, 'Лист2'!A:A, A540, 'Лист2'!B:B, B540)</f>
        <v>15</v>
      </c>
      <c r="F540" s="19">
        <v>644.0</v>
      </c>
      <c r="G540" s="19">
        <v>550.0</v>
      </c>
      <c r="H540" s="2">
        <f t="shared" si="1"/>
        <v>0</v>
      </c>
      <c r="I540" s="2">
        <f t="shared" si="2"/>
        <v>18</v>
      </c>
    </row>
    <row r="541" ht="14.25" customHeight="1">
      <c r="A541" s="18">
        <v>43951.0</v>
      </c>
      <c r="B541" s="13" t="s">
        <v>13</v>
      </c>
      <c r="C541" s="13"/>
      <c r="D541" s="13"/>
      <c r="E541" s="13">
        <f>SUMIFS('Лист2'!C:C, 'Лист2'!A:A, A541, 'Лист2'!B:B, B541)</f>
        <v>15</v>
      </c>
      <c r="F541" s="19">
        <v>791.0</v>
      </c>
      <c r="G541" s="19">
        <v>691.0</v>
      </c>
      <c r="H541" s="2">
        <f t="shared" si="1"/>
        <v>0</v>
      </c>
      <c r="I541" s="2">
        <f t="shared" si="2"/>
        <v>18</v>
      </c>
    </row>
    <row r="542" ht="14.25" customHeight="1">
      <c r="A542" s="18">
        <v>43951.0</v>
      </c>
      <c r="B542" s="13" t="s">
        <v>14</v>
      </c>
      <c r="C542" s="13"/>
      <c r="D542" s="13"/>
      <c r="E542" s="13">
        <f>SUMIFS('Лист2'!C:C, 'Лист2'!A:A, A542, 'Лист2'!B:B, B542)</f>
        <v>15</v>
      </c>
      <c r="F542" s="19">
        <v>262.0</v>
      </c>
      <c r="G542" s="19">
        <v>195.0</v>
      </c>
      <c r="H542" s="2">
        <f t="shared" si="1"/>
        <v>0</v>
      </c>
      <c r="I542" s="2">
        <f t="shared" si="2"/>
        <v>18</v>
      </c>
    </row>
    <row r="543" ht="14.25" customHeight="1">
      <c r="A543" s="18">
        <v>43951.0</v>
      </c>
      <c r="B543" s="13" t="s">
        <v>16</v>
      </c>
      <c r="C543" s="13"/>
      <c r="D543" s="13"/>
      <c r="E543" s="13">
        <f>SUMIFS('Лист2'!C:C, 'Лист2'!A:A, A543, 'Лист2'!B:B, B543)</f>
        <v>125</v>
      </c>
      <c r="F543" s="19">
        <v>22368.0</v>
      </c>
      <c r="G543" s="19">
        <v>20625.0</v>
      </c>
      <c r="H543" s="2">
        <f t="shared" si="1"/>
        <v>0</v>
      </c>
      <c r="I543" s="2">
        <f t="shared" si="2"/>
        <v>18</v>
      </c>
    </row>
    <row r="544" ht="14.25" customHeight="1">
      <c r="A544" s="18">
        <v>43951.0</v>
      </c>
      <c r="B544" s="13" t="s">
        <v>17</v>
      </c>
      <c r="C544" s="13"/>
      <c r="D544" s="13"/>
      <c r="E544" s="13">
        <f>SUMIFS('Лист2'!C:C, 'Лист2'!A:A, A544, 'Лист2'!B:B, B544)</f>
        <v>129</v>
      </c>
      <c r="F544" s="19">
        <v>18042.0</v>
      </c>
      <c r="G544" s="19">
        <v>16631.0</v>
      </c>
      <c r="H544" s="2">
        <f t="shared" si="1"/>
        <v>0</v>
      </c>
      <c r="I544" s="2">
        <f t="shared" si="2"/>
        <v>18</v>
      </c>
    </row>
    <row r="545" ht="14.25" customHeight="1">
      <c r="A545" s="18">
        <v>43951.0</v>
      </c>
      <c r="B545" s="13" t="s">
        <v>18</v>
      </c>
      <c r="C545" s="13"/>
      <c r="D545" s="13"/>
      <c r="E545" s="13">
        <f>SUMIFS('Лист2'!C:C, 'Лист2'!A:A, A545, 'Лист2'!B:B, B545)</f>
        <v>10</v>
      </c>
      <c r="F545" s="19">
        <v>448.0</v>
      </c>
      <c r="G545" s="19">
        <v>376.0</v>
      </c>
      <c r="H545" s="2">
        <f t="shared" si="1"/>
        <v>0</v>
      </c>
      <c r="I545" s="2">
        <f t="shared" si="2"/>
        <v>18</v>
      </c>
    </row>
    <row r="546" ht="14.25" customHeight="1">
      <c r="A546" s="18">
        <v>43952.0</v>
      </c>
      <c r="B546" s="13" t="s">
        <v>4</v>
      </c>
      <c r="C546" s="13"/>
      <c r="D546" s="13"/>
      <c r="E546" s="13">
        <f>SUMIFS('Лист2'!C:C, 'Лист2'!A:A, A546, 'Лист2'!B:B, B546)</f>
        <v>36</v>
      </c>
      <c r="F546" s="19">
        <v>5457.0</v>
      </c>
      <c r="G546" s="19">
        <v>4916.0</v>
      </c>
      <c r="H546" s="2">
        <f t="shared" si="1"/>
        <v>0</v>
      </c>
      <c r="I546" s="2">
        <f t="shared" si="2"/>
        <v>18</v>
      </c>
    </row>
    <row r="547" ht="14.25" customHeight="1">
      <c r="A547" s="18">
        <v>43952.0</v>
      </c>
      <c r="B547" s="13" t="s">
        <v>5</v>
      </c>
      <c r="C547" s="13"/>
      <c r="D547" s="13"/>
      <c r="E547" s="13">
        <f>SUMIFS('Лист2'!C:C, 'Лист2'!A:A, A547, 'Лист2'!B:B, B547)</f>
        <v>31</v>
      </c>
      <c r="F547" s="19">
        <v>6118.0</v>
      </c>
      <c r="G547" s="19">
        <v>5564.0</v>
      </c>
      <c r="H547" s="2">
        <f t="shared" si="1"/>
        <v>0</v>
      </c>
      <c r="I547" s="2">
        <f t="shared" si="2"/>
        <v>18</v>
      </c>
    </row>
    <row r="548" ht="14.25" customHeight="1">
      <c r="A548" s="18">
        <v>43952.0</v>
      </c>
      <c r="B548" s="13" t="s">
        <v>6</v>
      </c>
      <c r="C548" s="13"/>
      <c r="D548" s="13"/>
      <c r="E548" s="13">
        <f>SUMIFS('Лист2'!C:C, 'Лист2'!A:A, A548, 'Лист2'!B:B, B548)</f>
        <v>20</v>
      </c>
      <c r="F548" s="19">
        <v>2468.0</v>
      </c>
      <c r="G548" s="19">
        <v>2221.0</v>
      </c>
      <c r="H548" s="2">
        <f t="shared" si="1"/>
        <v>0</v>
      </c>
      <c r="I548" s="2">
        <f t="shared" si="2"/>
        <v>18</v>
      </c>
    </row>
    <row r="549" ht="14.25" customHeight="1">
      <c r="A549" s="18">
        <v>43952.0</v>
      </c>
      <c r="B549" s="13" t="s">
        <v>7</v>
      </c>
      <c r="C549" s="13"/>
      <c r="D549" s="13"/>
      <c r="E549" s="13">
        <f>SUMIFS('Лист2'!C:C, 'Лист2'!A:A, A549, 'Лист2'!B:B, B549)</f>
        <v>18</v>
      </c>
      <c r="F549" s="19">
        <v>1826.0</v>
      </c>
      <c r="G549" s="19">
        <v>1633.0</v>
      </c>
      <c r="H549" s="2">
        <f t="shared" si="1"/>
        <v>0</v>
      </c>
      <c r="I549" s="2">
        <f t="shared" si="2"/>
        <v>18</v>
      </c>
    </row>
    <row r="550" ht="14.25" customHeight="1">
      <c r="A550" s="18">
        <v>43952.0</v>
      </c>
      <c r="B550" s="13" t="s">
        <v>8</v>
      </c>
      <c r="C550" s="13"/>
      <c r="D550" s="13"/>
      <c r="E550" s="13">
        <f>SUMIFS('Лист2'!C:C, 'Лист2'!A:A, A550, 'Лист2'!B:B, B550)</f>
        <v>19</v>
      </c>
      <c r="F550" s="19">
        <v>1987.0</v>
      </c>
      <c r="G550" s="19">
        <v>1791.0</v>
      </c>
      <c r="H550" s="2">
        <f t="shared" si="1"/>
        <v>0</v>
      </c>
      <c r="I550" s="2">
        <f t="shared" si="2"/>
        <v>18</v>
      </c>
    </row>
    <row r="551" ht="14.25" customHeight="1">
      <c r="A551" s="18">
        <v>43952.0</v>
      </c>
      <c r="B551" s="13" t="s">
        <v>9</v>
      </c>
      <c r="C551" s="13"/>
      <c r="D551" s="13"/>
      <c r="E551" s="13">
        <f>SUMIFS('Лист2'!C:C, 'Лист2'!A:A, A551, 'Лист2'!B:B, B551)</f>
        <v>54</v>
      </c>
      <c r="F551" s="19">
        <v>14205.0</v>
      </c>
      <c r="G551" s="19">
        <v>13026.0</v>
      </c>
      <c r="H551" s="2">
        <f t="shared" si="1"/>
        <v>0</v>
      </c>
      <c r="I551" s="2">
        <f t="shared" si="2"/>
        <v>18</v>
      </c>
    </row>
    <row r="552" ht="14.25" customHeight="1">
      <c r="A552" s="18">
        <v>43952.0</v>
      </c>
      <c r="B552" s="13" t="s">
        <v>10</v>
      </c>
      <c r="C552" s="13"/>
      <c r="D552" s="13"/>
      <c r="E552" s="13">
        <f>SUMIFS('Лист2'!C:C, 'Лист2'!A:A, A552, 'Лист2'!B:B, B552)</f>
        <v>59</v>
      </c>
      <c r="F552" s="19">
        <v>15222.0</v>
      </c>
      <c r="G552" s="19">
        <v>13873.0</v>
      </c>
      <c r="H552" s="2">
        <f t="shared" si="1"/>
        <v>0</v>
      </c>
      <c r="I552" s="2">
        <f t="shared" si="2"/>
        <v>18</v>
      </c>
    </row>
    <row r="553" ht="14.25" customHeight="1">
      <c r="A553" s="18">
        <v>43952.0</v>
      </c>
      <c r="B553" s="13" t="s">
        <v>11</v>
      </c>
      <c r="C553" s="13"/>
      <c r="D553" s="13"/>
      <c r="E553" s="13">
        <f>SUMIFS('Лист2'!C:C, 'Лист2'!A:A, A553, 'Лист2'!B:B, B553)</f>
        <v>19</v>
      </c>
      <c r="F553" s="19">
        <v>1497.0</v>
      </c>
      <c r="G553" s="19">
        <v>1291.0</v>
      </c>
      <c r="H553" s="2">
        <f t="shared" si="1"/>
        <v>0</v>
      </c>
      <c r="I553" s="2">
        <f t="shared" si="2"/>
        <v>18</v>
      </c>
    </row>
    <row r="554" ht="14.25" customHeight="1">
      <c r="A554" s="18">
        <v>43952.0</v>
      </c>
      <c r="B554" s="13" t="s">
        <v>12</v>
      </c>
      <c r="C554" s="13"/>
      <c r="D554" s="13"/>
      <c r="E554" s="13">
        <f>SUMIFS('Лист2'!C:C, 'Лист2'!A:A, A554, 'Лист2'!B:B, B554)</f>
        <v>15</v>
      </c>
      <c r="F554" s="19">
        <v>721.0</v>
      </c>
      <c r="G554" s="19">
        <v>625.0</v>
      </c>
      <c r="H554" s="2">
        <f t="shared" si="1"/>
        <v>0</v>
      </c>
      <c r="I554" s="2">
        <f t="shared" si="2"/>
        <v>18</v>
      </c>
    </row>
    <row r="555" ht="14.25" customHeight="1">
      <c r="A555" s="18">
        <v>43952.0</v>
      </c>
      <c r="B555" s="13" t="s">
        <v>13</v>
      </c>
      <c r="C555" s="13"/>
      <c r="D555" s="13"/>
      <c r="E555" s="13">
        <f>SUMIFS('Лист2'!C:C, 'Лист2'!A:A, A555, 'Лист2'!B:B, B555)</f>
        <v>15</v>
      </c>
      <c r="F555" s="19">
        <v>996.0</v>
      </c>
      <c r="G555" s="19">
        <v>888.0</v>
      </c>
      <c r="H555" s="2">
        <f t="shared" si="1"/>
        <v>0</v>
      </c>
      <c r="I555" s="2">
        <f t="shared" si="2"/>
        <v>18</v>
      </c>
    </row>
    <row r="556" ht="14.25" customHeight="1">
      <c r="A556" s="18">
        <v>43952.0</v>
      </c>
      <c r="B556" s="13" t="s">
        <v>14</v>
      </c>
      <c r="C556" s="13"/>
      <c r="D556" s="13"/>
      <c r="E556" s="13">
        <f>SUMIFS('Лист2'!C:C, 'Лист2'!A:A, A556, 'Лист2'!B:B, B556)</f>
        <v>15</v>
      </c>
      <c r="F556" s="19">
        <v>294.0</v>
      </c>
      <c r="G556" s="19">
        <v>225.0</v>
      </c>
      <c r="H556" s="2">
        <f t="shared" si="1"/>
        <v>0</v>
      </c>
      <c r="I556" s="2">
        <f t="shared" si="2"/>
        <v>18</v>
      </c>
    </row>
    <row r="557" ht="14.25" customHeight="1">
      <c r="A557" s="18">
        <v>43952.0</v>
      </c>
      <c r="B557" s="13" t="s">
        <v>16</v>
      </c>
      <c r="C557" s="13"/>
      <c r="D557" s="13"/>
      <c r="E557" s="13">
        <f>SUMIFS('Лист2'!C:C, 'Лист2'!A:A, A557, 'Лист2'!B:B, B557)</f>
        <v>125</v>
      </c>
      <c r="F557" s="19">
        <v>20602.0</v>
      </c>
      <c r="G557" s="19">
        <v>18845.0</v>
      </c>
      <c r="H557" s="2">
        <f t="shared" si="1"/>
        <v>0</v>
      </c>
      <c r="I557" s="2">
        <f t="shared" si="2"/>
        <v>18</v>
      </c>
    </row>
    <row r="558" ht="14.25" customHeight="1">
      <c r="A558" s="18">
        <v>43952.0</v>
      </c>
      <c r="B558" s="13" t="s">
        <v>17</v>
      </c>
      <c r="C558" s="13"/>
      <c r="D558" s="13"/>
      <c r="E558" s="13">
        <f>SUMIFS('Лист2'!C:C, 'Лист2'!A:A, A558, 'Лист2'!B:B, B558)</f>
        <v>129</v>
      </c>
      <c r="F558" s="19">
        <v>17002.0</v>
      </c>
      <c r="G558" s="19">
        <v>15570.0</v>
      </c>
      <c r="H558" s="2">
        <f t="shared" si="1"/>
        <v>0</v>
      </c>
      <c r="I558" s="2">
        <f t="shared" si="2"/>
        <v>18</v>
      </c>
    </row>
    <row r="559" ht="14.25" customHeight="1">
      <c r="A559" s="18">
        <v>43952.0</v>
      </c>
      <c r="B559" s="13" t="s">
        <v>18</v>
      </c>
      <c r="C559" s="13"/>
      <c r="D559" s="13"/>
      <c r="E559" s="13">
        <f>SUMIFS('Лист2'!C:C, 'Лист2'!A:A, A559, 'Лист2'!B:B, B559)</f>
        <v>10</v>
      </c>
      <c r="F559" s="19">
        <v>554.0</v>
      </c>
      <c r="G559" s="19">
        <v>472.0</v>
      </c>
      <c r="H559" s="2">
        <f t="shared" si="1"/>
        <v>0</v>
      </c>
      <c r="I559" s="2">
        <f t="shared" si="2"/>
        <v>18</v>
      </c>
    </row>
    <row r="560" ht="14.25" customHeight="1">
      <c r="A560" s="18">
        <v>43953.0</v>
      </c>
      <c r="B560" s="13" t="s">
        <v>4</v>
      </c>
      <c r="C560" s="13"/>
      <c r="D560" s="13"/>
      <c r="E560" s="13">
        <f>SUMIFS('Лист2'!C:C, 'Лист2'!A:A, A560, 'Лист2'!B:B, B560)</f>
        <v>36</v>
      </c>
      <c r="F560" s="19">
        <v>3442.0</v>
      </c>
      <c r="G560" s="19">
        <v>3147.0</v>
      </c>
      <c r="H560" s="2">
        <f t="shared" si="1"/>
        <v>0</v>
      </c>
      <c r="I560" s="2">
        <f t="shared" si="2"/>
        <v>18</v>
      </c>
    </row>
    <row r="561" ht="14.25" customHeight="1">
      <c r="A561" s="18">
        <v>43953.0</v>
      </c>
      <c r="B561" s="13" t="s">
        <v>5</v>
      </c>
      <c r="C561" s="13"/>
      <c r="D561" s="13"/>
      <c r="E561" s="13">
        <f>SUMIFS('Лист2'!C:C, 'Лист2'!A:A, A561, 'Лист2'!B:B, B561)</f>
        <v>31</v>
      </c>
      <c r="F561" s="19">
        <v>4157.0</v>
      </c>
      <c r="G561" s="19">
        <v>3823.0</v>
      </c>
      <c r="H561" s="2">
        <f t="shared" si="1"/>
        <v>0</v>
      </c>
      <c r="I561" s="2">
        <f t="shared" si="2"/>
        <v>18</v>
      </c>
    </row>
    <row r="562" ht="14.25" customHeight="1">
      <c r="A562" s="18">
        <v>43953.0</v>
      </c>
      <c r="B562" s="13" t="s">
        <v>6</v>
      </c>
      <c r="C562" s="13"/>
      <c r="D562" s="13"/>
      <c r="E562" s="13">
        <f>SUMIFS('Лист2'!C:C, 'Лист2'!A:A, A562, 'Лист2'!B:B, B562)</f>
        <v>20</v>
      </c>
      <c r="F562" s="19">
        <v>1613.0</v>
      </c>
      <c r="G562" s="19">
        <v>1457.0</v>
      </c>
      <c r="H562" s="2">
        <f t="shared" si="1"/>
        <v>0</v>
      </c>
      <c r="I562" s="2">
        <f t="shared" si="2"/>
        <v>18</v>
      </c>
    </row>
    <row r="563" ht="14.25" customHeight="1">
      <c r="A563" s="18">
        <v>43953.0</v>
      </c>
      <c r="B563" s="13" t="s">
        <v>7</v>
      </c>
      <c r="C563" s="13"/>
      <c r="D563" s="13"/>
      <c r="E563" s="13">
        <f>SUMIFS('Лист2'!C:C, 'Лист2'!A:A, A563, 'Лист2'!B:B, B563)</f>
        <v>18</v>
      </c>
      <c r="F563" s="19">
        <v>1708.0</v>
      </c>
      <c r="G563" s="19">
        <v>1534.0</v>
      </c>
      <c r="H563" s="2">
        <f t="shared" si="1"/>
        <v>0</v>
      </c>
      <c r="I563" s="2">
        <f t="shared" si="2"/>
        <v>18</v>
      </c>
    </row>
    <row r="564" ht="14.25" customHeight="1">
      <c r="A564" s="18">
        <v>43953.0</v>
      </c>
      <c r="B564" s="13" t="s">
        <v>8</v>
      </c>
      <c r="C564" s="13"/>
      <c r="D564" s="13"/>
      <c r="E564" s="13">
        <f>SUMIFS('Лист2'!C:C, 'Лист2'!A:A, A564, 'Лист2'!B:B, B564)</f>
        <v>19</v>
      </c>
      <c r="F564" s="19">
        <v>1206.0</v>
      </c>
      <c r="G564" s="19">
        <v>1080.0</v>
      </c>
      <c r="H564" s="2">
        <f t="shared" si="1"/>
        <v>0</v>
      </c>
      <c r="I564" s="2">
        <f t="shared" si="2"/>
        <v>18</v>
      </c>
    </row>
    <row r="565" ht="14.25" customHeight="1">
      <c r="A565" s="18">
        <v>43953.0</v>
      </c>
      <c r="B565" s="13" t="s">
        <v>9</v>
      </c>
      <c r="C565" s="13"/>
      <c r="D565" s="13"/>
      <c r="E565" s="13">
        <f>SUMIFS('Лист2'!C:C, 'Лист2'!A:A, A565, 'Лист2'!B:B, B565)</f>
        <v>54</v>
      </c>
      <c r="F565" s="19">
        <v>11622.0</v>
      </c>
      <c r="G565" s="19">
        <v>10754.0</v>
      </c>
      <c r="H565" s="2">
        <f t="shared" si="1"/>
        <v>0</v>
      </c>
      <c r="I565" s="2">
        <f t="shared" si="2"/>
        <v>18</v>
      </c>
    </row>
    <row r="566" ht="14.25" customHeight="1">
      <c r="A566" s="18">
        <v>43953.0</v>
      </c>
      <c r="B566" s="13" t="s">
        <v>10</v>
      </c>
      <c r="C566" s="13"/>
      <c r="D566" s="13"/>
      <c r="E566" s="13">
        <f>SUMIFS('Лист2'!C:C, 'Лист2'!A:A, A566, 'Лист2'!B:B, B566)</f>
        <v>59</v>
      </c>
      <c r="F566" s="19">
        <v>12429.0</v>
      </c>
      <c r="G566" s="19">
        <v>11477.0</v>
      </c>
      <c r="H566" s="2">
        <f t="shared" si="1"/>
        <v>0</v>
      </c>
      <c r="I566" s="2">
        <f t="shared" si="2"/>
        <v>18</v>
      </c>
    </row>
    <row r="567" ht="14.25" customHeight="1">
      <c r="A567" s="18">
        <v>43953.0</v>
      </c>
      <c r="B567" s="13" t="s">
        <v>11</v>
      </c>
      <c r="C567" s="13"/>
      <c r="D567" s="13"/>
      <c r="E567" s="13">
        <f>SUMIFS('Лист2'!C:C, 'Лист2'!A:A, A567, 'Лист2'!B:B, B567)</f>
        <v>19</v>
      </c>
      <c r="F567" s="19">
        <v>1217.0</v>
      </c>
      <c r="G567" s="19">
        <v>1048.0</v>
      </c>
      <c r="H567" s="2">
        <f t="shared" si="1"/>
        <v>0</v>
      </c>
      <c r="I567" s="2">
        <f t="shared" si="2"/>
        <v>18</v>
      </c>
    </row>
    <row r="568" ht="14.25" customHeight="1">
      <c r="A568" s="18">
        <v>43953.0</v>
      </c>
      <c r="B568" s="13" t="s">
        <v>12</v>
      </c>
      <c r="C568" s="13"/>
      <c r="D568" s="13"/>
      <c r="E568" s="13">
        <f>SUMIFS('Лист2'!C:C, 'Лист2'!A:A, A568, 'Лист2'!B:B, B568)</f>
        <v>15</v>
      </c>
      <c r="F568" s="19">
        <v>567.0</v>
      </c>
      <c r="G568" s="19">
        <v>493.0</v>
      </c>
      <c r="H568" s="2">
        <f t="shared" si="1"/>
        <v>0</v>
      </c>
      <c r="I568" s="2">
        <f t="shared" si="2"/>
        <v>18</v>
      </c>
    </row>
    <row r="569" ht="14.25" customHeight="1">
      <c r="A569" s="18">
        <v>43953.0</v>
      </c>
      <c r="B569" s="13" t="s">
        <v>13</v>
      </c>
      <c r="C569" s="13"/>
      <c r="D569" s="13"/>
      <c r="E569" s="13">
        <f>SUMIFS('Лист2'!C:C, 'Лист2'!A:A, A569, 'Лист2'!B:B, B569)</f>
        <v>15</v>
      </c>
      <c r="F569" s="19">
        <v>751.0</v>
      </c>
      <c r="G569" s="19">
        <v>651.0</v>
      </c>
      <c r="H569" s="2">
        <f t="shared" si="1"/>
        <v>0</v>
      </c>
      <c r="I569" s="2">
        <f t="shared" si="2"/>
        <v>18</v>
      </c>
    </row>
    <row r="570" ht="14.25" customHeight="1">
      <c r="A570" s="18">
        <v>43953.0</v>
      </c>
      <c r="B570" s="13" t="s">
        <v>14</v>
      </c>
      <c r="C570" s="13"/>
      <c r="D570" s="13"/>
      <c r="E570" s="13">
        <f>SUMIFS('Лист2'!C:C, 'Лист2'!A:A, A570, 'Лист2'!B:B, B570)</f>
        <v>15</v>
      </c>
      <c r="F570" s="19">
        <v>274.0</v>
      </c>
      <c r="G570" s="19">
        <v>203.0</v>
      </c>
      <c r="H570" s="2">
        <f t="shared" si="1"/>
        <v>0</v>
      </c>
      <c r="I570" s="2">
        <f t="shared" si="2"/>
        <v>18</v>
      </c>
    </row>
    <row r="571" ht="14.25" customHeight="1">
      <c r="A571" s="18">
        <v>43953.0</v>
      </c>
      <c r="B571" s="13" t="s">
        <v>16</v>
      </c>
      <c r="C571" s="13"/>
      <c r="D571" s="13"/>
      <c r="E571" s="13">
        <f>SUMIFS('Лист2'!C:C, 'Лист2'!A:A, A571, 'Лист2'!B:B, B571)</f>
        <v>125</v>
      </c>
      <c r="F571" s="19">
        <v>16932.0</v>
      </c>
      <c r="G571" s="19">
        <v>15601.0</v>
      </c>
      <c r="H571" s="2">
        <f t="shared" si="1"/>
        <v>0</v>
      </c>
      <c r="I571" s="2">
        <f t="shared" si="2"/>
        <v>18</v>
      </c>
    </row>
    <row r="572" ht="14.25" customHeight="1">
      <c r="A572" s="18">
        <v>43953.0</v>
      </c>
      <c r="B572" s="13" t="s">
        <v>17</v>
      </c>
      <c r="C572" s="13"/>
      <c r="D572" s="13"/>
      <c r="E572" s="13">
        <f>SUMIFS('Лист2'!C:C, 'Лист2'!A:A, A572, 'Лист2'!B:B, B572)</f>
        <v>129</v>
      </c>
      <c r="F572" s="19">
        <v>14009.0</v>
      </c>
      <c r="G572" s="19">
        <v>12920.0</v>
      </c>
      <c r="H572" s="2">
        <f t="shared" si="1"/>
        <v>0</v>
      </c>
      <c r="I572" s="2">
        <f t="shared" si="2"/>
        <v>18</v>
      </c>
    </row>
    <row r="573" ht="14.25" customHeight="1">
      <c r="A573" s="18">
        <v>43953.0</v>
      </c>
      <c r="B573" s="13" t="s">
        <v>18</v>
      </c>
      <c r="C573" s="13"/>
      <c r="D573" s="13"/>
      <c r="E573" s="13">
        <f>SUMIFS('Лист2'!C:C, 'Лист2'!A:A, A573, 'Лист2'!B:B, B573)</f>
        <v>10</v>
      </c>
      <c r="F573" s="19">
        <v>416.0</v>
      </c>
      <c r="G573" s="19">
        <v>341.0</v>
      </c>
      <c r="H573" s="2">
        <f t="shared" si="1"/>
        <v>0</v>
      </c>
      <c r="I573" s="2">
        <f t="shared" si="2"/>
        <v>18</v>
      </c>
    </row>
    <row r="574" ht="14.25" customHeight="1">
      <c r="A574" s="18">
        <v>43954.0</v>
      </c>
      <c r="B574" s="13" t="s">
        <v>4</v>
      </c>
      <c r="C574" s="13"/>
      <c r="D574" s="13"/>
      <c r="E574" s="13">
        <f>SUMIFS('Лист2'!C:C, 'Лист2'!A:A, A574, 'Лист2'!B:B, B574)</f>
        <v>36</v>
      </c>
      <c r="F574" s="19">
        <v>4751.0</v>
      </c>
      <c r="G574" s="19">
        <v>4370.0</v>
      </c>
      <c r="H574" s="2">
        <f t="shared" si="1"/>
        <v>0</v>
      </c>
      <c r="I574" s="2">
        <f t="shared" si="2"/>
        <v>18</v>
      </c>
    </row>
    <row r="575" ht="14.25" customHeight="1">
      <c r="A575" s="18">
        <v>43954.0</v>
      </c>
      <c r="B575" s="13" t="s">
        <v>5</v>
      </c>
      <c r="C575" s="13"/>
      <c r="D575" s="13"/>
      <c r="E575" s="13">
        <f>SUMIFS('Лист2'!C:C, 'Лист2'!A:A, A575, 'Лист2'!B:B, B575)</f>
        <v>31</v>
      </c>
      <c r="F575" s="19">
        <v>5155.0</v>
      </c>
      <c r="G575" s="19">
        <v>4762.0</v>
      </c>
      <c r="H575" s="2">
        <f t="shared" si="1"/>
        <v>0</v>
      </c>
      <c r="I575" s="2">
        <f t="shared" si="2"/>
        <v>18</v>
      </c>
    </row>
    <row r="576" ht="14.25" customHeight="1">
      <c r="A576" s="18">
        <v>43954.0</v>
      </c>
      <c r="B576" s="13" t="s">
        <v>6</v>
      </c>
      <c r="C576" s="13"/>
      <c r="D576" s="13"/>
      <c r="E576" s="13">
        <f>SUMIFS('Лист2'!C:C, 'Лист2'!A:A, A576, 'Лист2'!B:B, B576)</f>
        <v>20</v>
      </c>
      <c r="F576" s="19">
        <v>1716.0</v>
      </c>
      <c r="G576" s="19">
        <v>1561.0</v>
      </c>
      <c r="H576" s="2">
        <f t="shared" si="1"/>
        <v>0</v>
      </c>
      <c r="I576" s="2">
        <f t="shared" si="2"/>
        <v>18</v>
      </c>
    </row>
    <row r="577" ht="14.25" customHeight="1">
      <c r="A577" s="18">
        <v>43954.0</v>
      </c>
      <c r="B577" s="13" t="s">
        <v>7</v>
      </c>
      <c r="C577" s="13"/>
      <c r="D577" s="13"/>
      <c r="E577" s="13">
        <f>SUMIFS('Лист2'!C:C, 'Лист2'!A:A, A577, 'Лист2'!B:B, B577)</f>
        <v>20</v>
      </c>
      <c r="F577" s="19">
        <v>1520.0</v>
      </c>
      <c r="G577" s="19">
        <v>1373.0</v>
      </c>
      <c r="H577" s="2">
        <f t="shared" si="1"/>
        <v>0</v>
      </c>
      <c r="I577" s="2">
        <f t="shared" si="2"/>
        <v>18</v>
      </c>
    </row>
    <row r="578" ht="14.25" customHeight="1">
      <c r="A578" s="18">
        <v>43954.0</v>
      </c>
      <c r="B578" s="13" t="s">
        <v>8</v>
      </c>
      <c r="C578" s="13"/>
      <c r="D578" s="13"/>
      <c r="E578" s="13">
        <f>SUMIFS('Лист2'!C:C, 'Лист2'!A:A, A578, 'Лист2'!B:B, B578)</f>
        <v>19</v>
      </c>
      <c r="F578" s="19">
        <v>1314.0</v>
      </c>
      <c r="G578" s="19">
        <v>1192.0</v>
      </c>
      <c r="H578" s="2">
        <f t="shared" si="1"/>
        <v>0</v>
      </c>
      <c r="I578" s="2">
        <f t="shared" si="2"/>
        <v>18</v>
      </c>
    </row>
    <row r="579" ht="14.25" customHeight="1">
      <c r="A579" s="18">
        <v>43954.0</v>
      </c>
      <c r="B579" s="13" t="s">
        <v>9</v>
      </c>
      <c r="C579" s="13"/>
      <c r="D579" s="13"/>
      <c r="E579" s="13">
        <f>SUMIFS('Лист2'!C:C, 'Лист2'!A:A, A579, 'Лист2'!B:B, B579)</f>
        <v>54</v>
      </c>
      <c r="F579" s="19">
        <v>14823.0</v>
      </c>
      <c r="G579" s="19">
        <v>13751.0</v>
      </c>
      <c r="H579" s="2">
        <f t="shared" si="1"/>
        <v>0</v>
      </c>
      <c r="I579" s="2">
        <f t="shared" si="2"/>
        <v>18</v>
      </c>
    </row>
    <row r="580" ht="14.25" customHeight="1">
      <c r="A580" s="18">
        <v>43954.0</v>
      </c>
      <c r="B580" s="13" t="s">
        <v>10</v>
      </c>
      <c r="C580" s="13"/>
      <c r="D580" s="13"/>
      <c r="E580" s="13">
        <f>SUMIFS('Лист2'!C:C, 'Лист2'!A:A, A580, 'Лист2'!B:B, B580)</f>
        <v>59</v>
      </c>
      <c r="F580" s="19">
        <v>15277.0</v>
      </c>
      <c r="G580" s="19">
        <v>14163.0</v>
      </c>
      <c r="H580" s="2">
        <f t="shared" si="1"/>
        <v>0</v>
      </c>
      <c r="I580" s="2">
        <f t="shared" si="2"/>
        <v>18</v>
      </c>
    </row>
    <row r="581" ht="14.25" customHeight="1">
      <c r="A581" s="18">
        <v>43954.0</v>
      </c>
      <c r="B581" s="13" t="s">
        <v>11</v>
      </c>
      <c r="C581" s="13"/>
      <c r="D581" s="13"/>
      <c r="E581" s="13">
        <f>SUMIFS('Лист2'!C:C, 'Лист2'!A:A, A581, 'Лист2'!B:B, B581)</f>
        <v>19</v>
      </c>
      <c r="F581" s="19">
        <v>1402.0</v>
      </c>
      <c r="G581" s="19">
        <v>1234.0</v>
      </c>
      <c r="H581" s="2">
        <f t="shared" si="1"/>
        <v>0</v>
      </c>
      <c r="I581" s="2">
        <f t="shared" si="2"/>
        <v>18</v>
      </c>
    </row>
    <row r="582" ht="14.25" customHeight="1">
      <c r="A582" s="18">
        <v>43954.0</v>
      </c>
      <c r="B582" s="13" t="s">
        <v>12</v>
      </c>
      <c r="C582" s="13"/>
      <c r="D582" s="13"/>
      <c r="E582" s="13">
        <f>SUMIFS('Лист2'!C:C, 'Лист2'!A:A, A582, 'Лист2'!B:B, B582)</f>
        <v>15</v>
      </c>
      <c r="F582" s="19">
        <v>585.0</v>
      </c>
      <c r="G582" s="19">
        <v>502.0</v>
      </c>
      <c r="H582" s="2">
        <f t="shared" si="1"/>
        <v>0</v>
      </c>
      <c r="I582" s="2">
        <f t="shared" si="2"/>
        <v>18</v>
      </c>
    </row>
    <row r="583" ht="14.25" customHeight="1">
      <c r="A583" s="18">
        <v>43954.0</v>
      </c>
      <c r="B583" s="13" t="s">
        <v>13</v>
      </c>
      <c r="C583" s="13"/>
      <c r="D583" s="13"/>
      <c r="E583" s="13">
        <f>SUMIFS('Лист2'!C:C, 'Лист2'!A:A, A583, 'Лист2'!B:B, B583)</f>
        <v>15</v>
      </c>
      <c r="F583" s="19">
        <v>784.0</v>
      </c>
      <c r="G583" s="19">
        <v>696.0</v>
      </c>
      <c r="H583" s="2">
        <f t="shared" si="1"/>
        <v>0</v>
      </c>
      <c r="I583" s="2">
        <f t="shared" si="2"/>
        <v>18</v>
      </c>
    </row>
    <row r="584" ht="14.25" customHeight="1">
      <c r="A584" s="18">
        <v>43954.0</v>
      </c>
      <c r="B584" s="13" t="s">
        <v>14</v>
      </c>
      <c r="C584" s="13"/>
      <c r="D584" s="13"/>
      <c r="E584" s="13">
        <f>SUMIFS('Лист2'!C:C, 'Лист2'!A:A, A584, 'Лист2'!B:B, B584)</f>
        <v>15</v>
      </c>
      <c r="F584" s="19">
        <v>455.0</v>
      </c>
      <c r="G584" s="19">
        <v>384.0</v>
      </c>
      <c r="H584" s="2">
        <f t="shared" si="1"/>
        <v>0</v>
      </c>
      <c r="I584" s="2">
        <f t="shared" si="2"/>
        <v>18</v>
      </c>
    </row>
    <row r="585" ht="14.25" customHeight="1">
      <c r="A585" s="18">
        <v>43954.0</v>
      </c>
      <c r="B585" s="13" t="s">
        <v>16</v>
      </c>
      <c r="C585" s="13"/>
      <c r="D585" s="13"/>
      <c r="E585" s="13">
        <f>SUMIFS('Лист2'!C:C, 'Лист2'!A:A, A585, 'Лист2'!B:B, B585)</f>
        <v>125</v>
      </c>
      <c r="F585" s="19">
        <v>18861.0</v>
      </c>
      <c r="G585" s="19">
        <v>17420.0</v>
      </c>
      <c r="H585" s="2">
        <f t="shared" si="1"/>
        <v>0</v>
      </c>
      <c r="I585" s="2">
        <f t="shared" si="2"/>
        <v>18</v>
      </c>
    </row>
    <row r="586" ht="14.25" customHeight="1">
      <c r="A586" s="18">
        <v>43954.0</v>
      </c>
      <c r="B586" s="13" t="s">
        <v>17</v>
      </c>
      <c r="C586" s="13"/>
      <c r="D586" s="13"/>
      <c r="E586" s="13">
        <f>SUMIFS('Лист2'!C:C, 'Лист2'!A:A, A586, 'Лист2'!B:B, B586)</f>
        <v>129</v>
      </c>
      <c r="F586" s="19">
        <v>15778.0</v>
      </c>
      <c r="G586" s="19">
        <v>14624.0</v>
      </c>
      <c r="H586" s="2">
        <f t="shared" si="1"/>
        <v>0</v>
      </c>
      <c r="I586" s="2">
        <f t="shared" si="2"/>
        <v>18</v>
      </c>
    </row>
    <row r="587" ht="14.25" customHeight="1">
      <c r="A587" s="18">
        <v>43954.0</v>
      </c>
      <c r="B587" s="13" t="s">
        <v>18</v>
      </c>
      <c r="C587" s="13"/>
      <c r="D587" s="13"/>
      <c r="E587" s="13">
        <f>SUMIFS('Лист2'!C:C, 'Лист2'!A:A, A587, 'Лист2'!B:B, B587)</f>
        <v>10</v>
      </c>
      <c r="F587" s="19">
        <v>402.0</v>
      </c>
      <c r="G587" s="19">
        <v>333.0</v>
      </c>
      <c r="H587" s="2">
        <f t="shared" si="1"/>
        <v>0</v>
      </c>
      <c r="I587" s="2">
        <f t="shared" si="2"/>
        <v>18</v>
      </c>
    </row>
    <row r="588" ht="14.25" customHeight="1">
      <c r="A588" s="18">
        <v>43955.0</v>
      </c>
      <c r="B588" s="13" t="s">
        <v>4</v>
      </c>
      <c r="C588" s="13"/>
      <c r="D588" s="13"/>
      <c r="E588" s="13">
        <f>SUMIFS('Лист2'!C:C, 'Лист2'!A:A, A588, 'Лист2'!B:B, B588)</f>
        <v>36</v>
      </c>
      <c r="F588" s="19">
        <v>4508.0</v>
      </c>
      <c r="G588" s="19">
        <v>4149.0</v>
      </c>
      <c r="H588" s="2">
        <f t="shared" si="1"/>
        <v>0</v>
      </c>
      <c r="I588" s="2">
        <f t="shared" si="2"/>
        <v>19</v>
      </c>
    </row>
    <row r="589" ht="14.25" customHeight="1">
      <c r="A589" s="18">
        <v>43955.0</v>
      </c>
      <c r="B589" s="13" t="s">
        <v>5</v>
      </c>
      <c r="C589" s="13"/>
      <c r="D589" s="13"/>
      <c r="E589" s="13">
        <f>SUMIFS('Лист2'!C:C, 'Лист2'!A:A, A589, 'Лист2'!B:B, B589)</f>
        <v>31</v>
      </c>
      <c r="F589" s="19">
        <v>4968.0</v>
      </c>
      <c r="G589" s="19">
        <v>4596.0</v>
      </c>
      <c r="H589" s="2">
        <f t="shared" si="1"/>
        <v>0</v>
      </c>
      <c r="I589" s="2">
        <f t="shared" si="2"/>
        <v>19</v>
      </c>
    </row>
    <row r="590" ht="14.25" customHeight="1">
      <c r="A590" s="18">
        <v>43955.0</v>
      </c>
      <c r="B590" s="13" t="s">
        <v>6</v>
      </c>
      <c r="C590" s="13"/>
      <c r="D590" s="13"/>
      <c r="E590" s="13">
        <f>SUMIFS('Лист2'!C:C, 'Лист2'!A:A, A590, 'Лист2'!B:B, B590)</f>
        <v>20</v>
      </c>
      <c r="F590" s="19">
        <v>1804.0</v>
      </c>
      <c r="G590" s="19">
        <v>1638.0</v>
      </c>
      <c r="H590" s="2">
        <f t="shared" si="1"/>
        <v>0</v>
      </c>
      <c r="I590" s="2">
        <f t="shared" si="2"/>
        <v>19</v>
      </c>
    </row>
    <row r="591" ht="14.25" customHeight="1">
      <c r="A591" s="18">
        <v>43955.0</v>
      </c>
      <c r="B591" s="13" t="s">
        <v>7</v>
      </c>
      <c r="C591" s="13"/>
      <c r="D591" s="13"/>
      <c r="E591" s="13">
        <f>SUMIFS('Лист2'!C:C, 'Лист2'!A:A, A591, 'Лист2'!B:B, B591)</f>
        <v>20</v>
      </c>
      <c r="F591" s="19">
        <v>1519.0</v>
      </c>
      <c r="G591" s="19">
        <v>1372.0</v>
      </c>
      <c r="H591" s="2">
        <f t="shared" si="1"/>
        <v>0</v>
      </c>
      <c r="I591" s="2">
        <f t="shared" si="2"/>
        <v>19</v>
      </c>
    </row>
    <row r="592" ht="14.25" customHeight="1">
      <c r="A592" s="18">
        <v>43955.0</v>
      </c>
      <c r="B592" s="13" t="s">
        <v>8</v>
      </c>
      <c r="C592" s="13"/>
      <c r="D592" s="13"/>
      <c r="E592" s="13">
        <f>SUMIFS('Лист2'!C:C, 'Лист2'!A:A, A592, 'Лист2'!B:B, B592)</f>
        <v>19</v>
      </c>
      <c r="F592" s="19">
        <v>1479.0</v>
      </c>
      <c r="G592" s="19">
        <v>1346.0</v>
      </c>
      <c r="H592" s="2">
        <f t="shared" si="1"/>
        <v>0</v>
      </c>
      <c r="I592" s="2">
        <f t="shared" si="2"/>
        <v>19</v>
      </c>
    </row>
    <row r="593" ht="14.25" customHeight="1">
      <c r="A593" s="18">
        <v>43955.0</v>
      </c>
      <c r="B593" s="13" t="s">
        <v>9</v>
      </c>
      <c r="C593" s="13"/>
      <c r="D593" s="13"/>
      <c r="E593" s="13">
        <f>SUMIFS('Лист2'!C:C, 'Лист2'!A:A, A593, 'Лист2'!B:B, B593)</f>
        <v>54</v>
      </c>
      <c r="F593" s="19">
        <v>13606.0</v>
      </c>
      <c r="G593" s="19">
        <v>12697.0</v>
      </c>
      <c r="H593" s="2">
        <f t="shared" si="1"/>
        <v>0</v>
      </c>
      <c r="I593" s="2">
        <f t="shared" si="2"/>
        <v>19</v>
      </c>
    </row>
    <row r="594" ht="14.25" customHeight="1">
      <c r="A594" s="18">
        <v>43955.0</v>
      </c>
      <c r="B594" s="13" t="s">
        <v>10</v>
      </c>
      <c r="C594" s="13"/>
      <c r="D594" s="13"/>
      <c r="E594" s="13">
        <f>SUMIFS('Лист2'!C:C, 'Лист2'!A:A, A594, 'Лист2'!B:B, B594)</f>
        <v>59</v>
      </c>
      <c r="F594" s="19">
        <v>14423.0</v>
      </c>
      <c r="G594" s="19">
        <v>13432.0</v>
      </c>
      <c r="H594" s="2">
        <f t="shared" si="1"/>
        <v>0</v>
      </c>
      <c r="I594" s="2">
        <f t="shared" si="2"/>
        <v>19</v>
      </c>
    </row>
    <row r="595" ht="14.25" customHeight="1">
      <c r="A595" s="18">
        <v>43955.0</v>
      </c>
      <c r="B595" s="13" t="s">
        <v>11</v>
      </c>
      <c r="C595" s="13"/>
      <c r="D595" s="13"/>
      <c r="E595" s="13">
        <f>SUMIFS('Лист2'!C:C, 'Лист2'!A:A, A595, 'Лист2'!B:B, B595)</f>
        <v>19</v>
      </c>
      <c r="F595" s="19">
        <v>1582.0</v>
      </c>
      <c r="G595" s="19">
        <v>1403.0</v>
      </c>
      <c r="H595" s="2">
        <f t="shared" si="1"/>
        <v>0</v>
      </c>
      <c r="I595" s="2">
        <f t="shared" si="2"/>
        <v>19</v>
      </c>
    </row>
    <row r="596" ht="14.25" customHeight="1">
      <c r="A596" s="18">
        <v>43955.0</v>
      </c>
      <c r="B596" s="13" t="s">
        <v>12</v>
      </c>
      <c r="C596" s="13"/>
      <c r="D596" s="13"/>
      <c r="E596" s="13">
        <f>SUMIFS('Лист2'!C:C, 'Лист2'!A:A, A596, 'Лист2'!B:B, B596)</f>
        <v>15</v>
      </c>
      <c r="F596" s="19">
        <v>622.0</v>
      </c>
      <c r="G596" s="19">
        <v>538.0</v>
      </c>
      <c r="H596" s="2">
        <f t="shared" si="1"/>
        <v>0</v>
      </c>
      <c r="I596" s="2">
        <f t="shared" si="2"/>
        <v>19</v>
      </c>
    </row>
    <row r="597" ht="14.25" customHeight="1">
      <c r="A597" s="18">
        <v>43955.0</v>
      </c>
      <c r="B597" s="13" t="s">
        <v>13</v>
      </c>
      <c r="C597" s="13"/>
      <c r="D597" s="13"/>
      <c r="E597" s="13">
        <f>SUMIFS('Лист2'!C:C, 'Лист2'!A:A, A597, 'Лист2'!B:B, B597)</f>
        <v>15</v>
      </c>
      <c r="F597" s="19">
        <v>750.0</v>
      </c>
      <c r="G597" s="19">
        <v>647.0</v>
      </c>
      <c r="H597" s="2">
        <f t="shared" si="1"/>
        <v>0</v>
      </c>
      <c r="I597" s="2">
        <f t="shared" si="2"/>
        <v>19</v>
      </c>
    </row>
    <row r="598" ht="14.25" customHeight="1">
      <c r="A598" s="18">
        <v>43955.0</v>
      </c>
      <c r="B598" s="13" t="s">
        <v>14</v>
      </c>
      <c r="C598" s="13"/>
      <c r="D598" s="13"/>
      <c r="E598" s="13">
        <f>SUMIFS('Лист2'!C:C, 'Лист2'!A:A, A598, 'Лист2'!B:B, B598)</f>
        <v>15</v>
      </c>
      <c r="F598" s="19">
        <v>390.0</v>
      </c>
      <c r="G598" s="19">
        <v>315.0</v>
      </c>
      <c r="H598" s="2">
        <f t="shared" si="1"/>
        <v>0</v>
      </c>
      <c r="I598" s="2">
        <f t="shared" si="2"/>
        <v>19</v>
      </c>
    </row>
    <row r="599" ht="14.25" customHeight="1">
      <c r="A599" s="18">
        <v>43955.0</v>
      </c>
      <c r="B599" s="13" t="s">
        <v>16</v>
      </c>
      <c r="C599" s="13"/>
      <c r="D599" s="13"/>
      <c r="E599" s="13">
        <f>SUMIFS('Лист2'!C:C, 'Лист2'!A:A, A599, 'Лист2'!B:B, B599)</f>
        <v>125</v>
      </c>
      <c r="F599" s="19">
        <v>20495.0</v>
      </c>
      <c r="G599" s="19">
        <v>18964.0</v>
      </c>
      <c r="H599" s="2">
        <f t="shared" si="1"/>
        <v>0</v>
      </c>
      <c r="I599" s="2">
        <f t="shared" si="2"/>
        <v>19</v>
      </c>
    </row>
    <row r="600" ht="14.25" customHeight="1">
      <c r="A600" s="18">
        <v>43955.0</v>
      </c>
      <c r="B600" s="13" t="s">
        <v>17</v>
      </c>
      <c r="C600" s="13"/>
      <c r="D600" s="13"/>
      <c r="E600" s="13">
        <f>SUMIFS('Лист2'!C:C, 'Лист2'!A:A, A600, 'Лист2'!B:B, B600)</f>
        <v>129</v>
      </c>
      <c r="F600" s="19">
        <v>16525.0</v>
      </c>
      <c r="G600" s="19">
        <v>15310.0</v>
      </c>
      <c r="H600" s="2">
        <f t="shared" si="1"/>
        <v>0</v>
      </c>
      <c r="I600" s="2">
        <f t="shared" si="2"/>
        <v>19</v>
      </c>
    </row>
    <row r="601" ht="14.25" customHeight="1">
      <c r="A601" s="18">
        <v>43955.0</v>
      </c>
      <c r="B601" s="13" t="s">
        <v>18</v>
      </c>
      <c r="C601" s="13"/>
      <c r="D601" s="13"/>
      <c r="E601" s="13">
        <f>SUMIFS('Лист2'!C:C, 'Лист2'!A:A, A601, 'Лист2'!B:B, B601)</f>
        <v>10</v>
      </c>
      <c r="F601" s="19">
        <v>462.0</v>
      </c>
      <c r="G601" s="19">
        <v>396.0</v>
      </c>
      <c r="H601" s="2">
        <f t="shared" si="1"/>
        <v>0</v>
      </c>
      <c r="I601" s="2">
        <f t="shared" si="2"/>
        <v>19</v>
      </c>
    </row>
    <row r="602" ht="14.25" customHeight="1">
      <c r="A602" s="18">
        <v>43956.0</v>
      </c>
      <c r="B602" s="13" t="s">
        <v>4</v>
      </c>
      <c r="C602" s="13"/>
      <c r="D602" s="13"/>
      <c r="E602" s="13">
        <f>SUMIFS('Лист2'!C:C, 'Лист2'!A:A, A602, 'Лист2'!B:B, B602)</f>
        <v>36</v>
      </c>
      <c r="F602" s="19">
        <v>4575.0</v>
      </c>
      <c r="G602" s="19">
        <v>4206.0</v>
      </c>
      <c r="H602" s="2">
        <f t="shared" si="1"/>
        <v>0</v>
      </c>
      <c r="I602" s="2">
        <f t="shared" si="2"/>
        <v>19</v>
      </c>
    </row>
    <row r="603" ht="14.25" customHeight="1">
      <c r="A603" s="18">
        <v>43956.0</v>
      </c>
      <c r="B603" s="13" t="s">
        <v>5</v>
      </c>
      <c r="C603" s="13"/>
      <c r="D603" s="13"/>
      <c r="E603" s="13">
        <f>SUMIFS('Лист2'!C:C, 'Лист2'!A:A, A603, 'Лист2'!B:B, B603)</f>
        <v>31</v>
      </c>
      <c r="F603" s="19">
        <v>5188.0</v>
      </c>
      <c r="G603" s="19">
        <v>4800.0</v>
      </c>
      <c r="H603" s="2">
        <f t="shared" si="1"/>
        <v>0</v>
      </c>
      <c r="I603" s="2">
        <f t="shared" si="2"/>
        <v>19</v>
      </c>
    </row>
    <row r="604" ht="14.25" customHeight="1">
      <c r="A604" s="18">
        <v>43956.0</v>
      </c>
      <c r="B604" s="13" t="s">
        <v>6</v>
      </c>
      <c r="C604" s="13"/>
      <c r="D604" s="13"/>
      <c r="E604" s="13">
        <f>SUMIFS('Лист2'!C:C, 'Лист2'!A:A, A604, 'Лист2'!B:B, B604)</f>
        <v>20</v>
      </c>
      <c r="F604" s="19">
        <v>1757.0</v>
      </c>
      <c r="G604" s="19">
        <v>1596.0</v>
      </c>
      <c r="H604" s="2">
        <f t="shared" si="1"/>
        <v>0</v>
      </c>
      <c r="I604" s="2">
        <f t="shared" si="2"/>
        <v>19</v>
      </c>
    </row>
    <row r="605" ht="14.25" customHeight="1">
      <c r="A605" s="18">
        <v>43956.0</v>
      </c>
      <c r="B605" s="13" t="s">
        <v>7</v>
      </c>
      <c r="C605" s="13"/>
      <c r="D605" s="13"/>
      <c r="E605" s="13">
        <f>SUMIFS('Лист2'!C:C, 'Лист2'!A:A, A605, 'Лист2'!B:B, B605)</f>
        <v>20</v>
      </c>
      <c r="F605" s="19">
        <v>1773.0</v>
      </c>
      <c r="G605" s="19">
        <v>1604.0</v>
      </c>
      <c r="H605" s="2">
        <f t="shared" si="1"/>
        <v>0</v>
      </c>
      <c r="I605" s="2">
        <f t="shared" si="2"/>
        <v>19</v>
      </c>
    </row>
    <row r="606" ht="14.25" customHeight="1">
      <c r="A606" s="18">
        <v>43956.0</v>
      </c>
      <c r="B606" s="13" t="s">
        <v>8</v>
      </c>
      <c r="C606" s="13"/>
      <c r="D606" s="13"/>
      <c r="E606" s="13">
        <f>SUMIFS('Лист2'!C:C, 'Лист2'!A:A, A606, 'Лист2'!B:B, B606)</f>
        <v>19</v>
      </c>
      <c r="F606" s="19">
        <v>1622.0</v>
      </c>
      <c r="G606" s="19">
        <v>1482.0</v>
      </c>
      <c r="H606" s="2">
        <f t="shared" si="1"/>
        <v>0</v>
      </c>
      <c r="I606" s="2">
        <f t="shared" si="2"/>
        <v>19</v>
      </c>
    </row>
    <row r="607" ht="14.25" customHeight="1">
      <c r="A607" s="18">
        <v>43956.0</v>
      </c>
      <c r="B607" s="13" t="s">
        <v>9</v>
      </c>
      <c r="C607" s="13"/>
      <c r="D607" s="13"/>
      <c r="E607" s="13">
        <f>SUMIFS('Лист2'!C:C, 'Лист2'!A:A, A607, 'Лист2'!B:B, B607)</f>
        <v>54</v>
      </c>
      <c r="F607" s="19">
        <v>12775.0</v>
      </c>
      <c r="G607" s="19">
        <v>11887.0</v>
      </c>
      <c r="H607" s="2">
        <f t="shared" si="1"/>
        <v>0</v>
      </c>
      <c r="I607" s="2">
        <f t="shared" si="2"/>
        <v>19</v>
      </c>
    </row>
    <row r="608" ht="14.25" customHeight="1">
      <c r="A608" s="18">
        <v>43956.0</v>
      </c>
      <c r="B608" s="13" t="s">
        <v>10</v>
      </c>
      <c r="C608" s="13"/>
      <c r="D608" s="13"/>
      <c r="E608" s="13">
        <f>SUMIFS('Лист2'!C:C, 'Лист2'!A:A, A608, 'Лист2'!B:B, B608)</f>
        <v>59</v>
      </c>
      <c r="F608" s="19">
        <v>13469.0</v>
      </c>
      <c r="G608" s="19">
        <v>12486.0</v>
      </c>
      <c r="H608" s="2">
        <f t="shared" si="1"/>
        <v>0</v>
      </c>
      <c r="I608" s="2">
        <f t="shared" si="2"/>
        <v>19</v>
      </c>
    </row>
    <row r="609" ht="14.25" customHeight="1">
      <c r="A609" s="18">
        <v>43956.0</v>
      </c>
      <c r="B609" s="13" t="s">
        <v>11</v>
      </c>
      <c r="C609" s="13"/>
      <c r="D609" s="13"/>
      <c r="E609" s="13">
        <f>SUMIFS('Лист2'!C:C, 'Лист2'!A:A, A609, 'Лист2'!B:B, B609)</f>
        <v>19</v>
      </c>
      <c r="F609" s="19">
        <v>1417.0</v>
      </c>
      <c r="G609" s="19">
        <v>1245.0</v>
      </c>
      <c r="H609" s="2">
        <f t="shared" si="1"/>
        <v>0</v>
      </c>
      <c r="I609" s="2">
        <f t="shared" si="2"/>
        <v>19</v>
      </c>
    </row>
    <row r="610" ht="14.25" customHeight="1">
      <c r="A610" s="18">
        <v>43956.0</v>
      </c>
      <c r="B610" s="13" t="s">
        <v>12</v>
      </c>
      <c r="C610" s="13"/>
      <c r="D610" s="13"/>
      <c r="E610" s="13">
        <f>SUMIFS('Лист2'!C:C, 'Лист2'!A:A, A610, 'Лист2'!B:B, B610)</f>
        <v>15</v>
      </c>
      <c r="F610" s="19">
        <v>750.0</v>
      </c>
      <c r="G610" s="19">
        <v>658.0</v>
      </c>
      <c r="H610" s="2">
        <f t="shared" si="1"/>
        <v>0</v>
      </c>
      <c r="I610" s="2">
        <f t="shared" si="2"/>
        <v>19</v>
      </c>
    </row>
    <row r="611" ht="14.25" customHeight="1">
      <c r="A611" s="18">
        <v>43956.0</v>
      </c>
      <c r="B611" s="13" t="s">
        <v>13</v>
      </c>
      <c r="C611" s="13"/>
      <c r="D611" s="13"/>
      <c r="E611" s="13">
        <f>SUMIFS('Лист2'!C:C, 'Лист2'!A:A, A611, 'Лист2'!B:B, B611)</f>
        <v>15</v>
      </c>
      <c r="F611" s="19">
        <v>922.0</v>
      </c>
      <c r="G611" s="19">
        <v>823.0</v>
      </c>
      <c r="H611" s="2">
        <f t="shared" si="1"/>
        <v>0</v>
      </c>
      <c r="I611" s="2">
        <f t="shared" si="2"/>
        <v>19</v>
      </c>
    </row>
    <row r="612" ht="14.25" customHeight="1">
      <c r="A612" s="18">
        <v>43956.0</v>
      </c>
      <c r="B612" s="13" t="s">
        <v>14</v>
      </c>
      <c r="C612" s="13"/>
      <c r="D612" s="13"/>
      <c r="E612" s="13">
        <f>SUMIFS('Лист2'!C:C, 'Лист2'!A:A, A612, 'Лист2'!B:B, B612)</f>
        <v>15</v>
      </c>
      <c r="F612" s="19">
        <v>455.0</v>
      </c>
      <c r="G612" s="19">
        <v>381.0</v>
      </c>
      <c r="H612" s="2">
        <f t="shared" si="1"/>
        <v>0</v>
      </c>
      <c r="I612" s="2">
        <f t="shared" si="2"/>
        <v>19</v>
      </c>
    </row>
    <row r="613" ht="14.25" customHeight="1">
      <c r="A613" s="18">
        <v>43956.0</v>
      </c>
      <c r="B613" s="13" t="s">
        <v>16</v>
      </c>
      <c r="C613" s="13"/>
      <c r="D613" s="13"/>
      <c r="E613" s="13">
        <f>SUMIFS('Лист2'!C:C, 'Лист2'!A:A, A613, 'Лист2'!B:B, B613)</f>
        <v>125</v>
      </c>
      <c r="F613" s="19">
        <v>18944.0</v>
      </c>
      <c r="G613" s="19">
        <v>17541.0</v>
      </c>
      <c r="H613" s="2">
        <f t="shared" si="1"/>
        <v>0</v>
      </c>
      <c r="I613" s="2">
        <f t="shared" si="2"/>
        <v>19</v>
      </c>
    </row>
    <row r="614" ht="14.25" customHeight="1">
      <c r="A614" s="18">
        <v>43956.0</v>
      </c>
      <c r="B614" s="13" t="s">
        <v>17</v>
      </c>
      <c r="C614" s="13"/>
      <c r="D614" s="13"/>
      <c r="E614" s="13">
        <f>SUMIFS('Лист2'!C:C, 'Лист2'!A:A, A614, 'Лист2'!B:B, B614)</f>
        <v>129</v>
      </c>
      <c r="F614" s="19">
        <v>15665.0</v>
      </c>
      <c r="G614" s="19">
        <v>14501.0</v>
      </c>
      <c r="H614" s="2">
        <f t="shared" si="1"/>
        <v>0</v>
      </c>
      <c r="I614" s="2">
        <f t="shared" si="2"/>
        <v>19</v>
      </c>
    </row>
    <row r="615" ht="14.25" customHeight="1">
      <c r="A615" s="18">
        <v>43956.0</v>
      </c>
      <c r="B615" s="13" t="s">
        <v>18</v>
      </c>
      <c r="C615" s="13"/>
      <c r="D615" s="13"/>
      <c r="E615" s="13">
        <f>SUMIFS('Лист2'!C:C, 'Лист2'!A:A, A615, 'Лист2'!B:B, B615)</f>
        <v>10</v>
      </c>
      <c r="F615" s="19">
        <v>511.0</v>
      </c>
      <c r="G615" s="19">
        <v>437.0</v>
      </c>
      <c r="H615" s="2">
        <f t="shared" si="1"/>
        <v>0</v>
      </c>
      <c r="I615" s="2">
        <f t="shared" si="2"/>
        <v>19</v>
      </c>
    </row>
    <row r="616" ht="14.25" customHeight="1">
      <c r="A616" s="18">
        <v>43957.0</v>
      </c>
      <c r="B616" s="13" t="s">
        <v>4</v>
      </c>
      <c r="C616" s="13"/>
      <c r="D616" s="13"/>
      <c r="E616" s="13">
        <f>SUMIFS('Лист2'!C:C, 'Лист2'!A:A, A616, 'Лист2'!B:B, B616)</f>
        <v>36</v>
      </c>
      <c r="F616" s="19">
        <v>4384.0</v>
      </c>
      <c r="G616" s="19">
        <v>4025.0</v>
      </c>
      <c r="H616" s="2">
        <f t="shared" si="1"/>
        <v>0</v>
      </c>
      <c r="I616" s="2">
        <f t="shared" si="2"/>
        <v>19</v>
      </c>
    </row>
    <row r="617" ht="14.25" customHeight="1">
      <c r="A617" s="18">
        <v>43957.0</v>
      </c>
      <c r="B617" s="13" t="s">
        <v>5</v>
      </c>
      <c r="C617" s="13"/>
      <c r="D617" s="13"/>
      <c r="E617" s="13">
        <f>SUMIFS('Лист2'!C:C, 'Лист2'!A:A, A617, 'Лист2'!B:B, B617)</f>
        <v>31</v>
      </c>
      <c r="F617" s="19">
        <v>4709.0</v>
      </c>
      <c r="G617" s="19">
        <v>4348.0</v>
      </c>
      <c r="H617" s="2">
        <f t="shared" si="1"/>
        <v>0</v>
      </c>
      <c r="I617" s="2">
        <f t="shared" si="2"/>
        <v>19</v>
      </c>
    </row>
    <row r="618" ht="14.25" customHeight="1">
      <c r="A618" s="18">
        <v>43957.0</v>
      </c>
      <c r="B618" s="13" t="s">
        <v>6</v>
      </c>
      <c r="C618" s="13"/>
      <c r="D618" s="13"/>
      <c r="E618" s="13">
        <f>SUMIFS('Лист2'!C:C, 'Лист2'!A:A, A618, 'Лист2'!B:B, B618)</f>
        <v>20</v>
      </c>
      <c r="F618" s="19">
        <v>1747.0</v>
      </c>
      <c r="G618" s="19">
        <v>1570.0</v>
      </c>
      <c r="H618" s="2">
        <f t="shared" si="1"/>
        <v>0</v>
      </c>
      <c r="I618" s="2">
        <f t="shared" si="2"/>
        <v>19</v>
      </c>
    </row>
    <row r="619" ht="14.25" customHeight="1">
      <c r="A619" s="18">
        <v>43957.0</v>
      </c>
      <c r="B619" s="13" t="s">
        <v>7</v>
      </c>
      <c r="C619" s="13"/>
      <c r="D619" s="13"/>
      <c r="E619" s="13">
        <f>SUMIFS('Лист2'!C:C, 'Лист2'!A:A, A619, 'Лист2'!B:B, B619)</f>
        <v>20</v>
      </c>
      <c r="F619" s="19">
        <v>1784.0</v>
      </c>
      <c r="G619" s="19">
        <v>1632.0</v>
      </c>
      <c r="H619" s="2">
        <f t="shared" si="1"/>
        <v>0</v>
      </c>
      <c r="I619" s="2">
        <f t="shared" si="2"/>
        <v>19</v>
      </c>
    </row>
    <row r="620" ht="14.25" customHeight="1">
      <c r="A620" s="18">
        <v>43957.0</v>
      </c>
      <c r="B620" s="13" t="s">
        <v>8</v>
      </c>
      <c r="C620" s="13"/>
      <c r="D620" s="13"/>
      <c r="E620" s="13">
        <f>SUMIFS('Лист2'!C:C, 'Лист2'!A:A, A620, 'Лист2'!B:B, B620)</f>
        <v>19</v>
      </c>
      <c r="F620" s="19">
        <v>1509.0</v>
      </c>
      <c r="G620" s="19">
        <v>1374.0</v>
      </c>
      <c r="H620" s="2">
        <f t="shared" si="1"/>
        <v>0</v>
      </c>
      <c r="I620" s="2">
        <f t="shared" si="2"/>
        <v>19</v>
      </c>
    </row>
    <row r="621" ht="14.25" customHeight="1">
      <c r="A621" s="18">
        <v>43957.0</v>
      </c>
      <c r="B621" s="13" t="s">
        <v>9</v>
      </c>
      <c r="C621" s="13"/>
      <c r="D621" s="13"/>
      <c r="E621" s="13">
        <f>SUMIFS('Лист2'!C:C, 'Лист2'!A:A, A621, 'Лист2'!B:B, B621)</f>
        <v>54</v>
      </c>
      <c r="F621" s="19">
        <v>13406.0</v>
      </c>
      <c r="G621" s="19">
        <v>12518.0</v>
      </c>
      <c r="H621" s="2">
        <f t="shared" si="1"/>
        <v>0</v>
      </c>
      <c r="I621" s="2">
        <f t="shared" si="2"/>
        <v>19</v>
      </c>
    </row>
    <row r="622" ht="14.25" customHeight="1">
      <c r="A622" s="18">
        <v>43957.0</v>
      </c>
      <c r="B622" s="13" t="s">
        <v>10</v>
      </c>
      <c r="C622" s="13"/>
      <c r="D622" s="13"/>
      <c r="E622" s="13">
        <f>SUMIFS('Лист2'!C:C, 'Лист2'!A:A, A622, 'Лист2'!B:B, B622)</f>
        <v>59</v>
      </c>
      <c r="F622" s="19">
        <v>14103.0</v>
      </c>
      <c r="G622" s="19">
        <v>13118.0</v>
      </c>
      <c r="H622" s="2">
        <f t="shared" si="1"/>
        <v>0</v>
      </c>
      <c r="I622" s="2">
        <f t="shared" si="2"/>
        <v>19</v>
      </c>
    </row>
    <row r="623" ht="14.25" customHeight="1">
      <c r="A623" s="18">
        <v>43957.0</v>
      </c>
      <c r="B623" s="13" t="s">
        <v>11</v>
      </c>
      <c r="C623" s="13"/>
      <c r="D623" s="13"/>
      <c r="E623" s="13">
        <f>SUMIFS('Лист2'!C:C, 'Лист2'!A:A, A623, 'Лист2'!B:B, B623)</f>
        <v>19</v>
      </c>
      <c r="F623" s="19">
        <v>1499.0</v>
      </c>
      <c r="G623" s="19">
        <v>1323.0</v>
      </c>
      <c r="H623" s="2">
        <f t="shared" si="1"/>
        <v>0</v>
      </c>
      <c r="I623" s="2">
        <f t="shared" si="2"/>
        <v>19</v>
      </c>
    </row>
    <row r="624" ht="14.25" customHeight="1">
      <c r="A624" s="18">
        <v>43957.0</v>
      </c>
      <c r="B624" s="13" t="s">
        <v>12</v>
      </c>
      <c r="C624" s="13"/>
      <c r="D624" s="13"/>
      <c r="E624" s="13">
        <f>SUMIFS('Лист2'!C:C, 'Лист2'!A:A, A624, 'Лист2'!B:B, B624)</f>
        <v>15</v>
      </c>
      <c r="F624" s="19">
        <v>701.0</v>
      </c>
      <c r="G624" s="19">
        <v>611.0</v>
      </c>
      <c r="H624" s="2">
        <f t="shared" si="1"/>
        <v>0</v>
      </c>
      <c r="I624" s="2">
        <f t="shared" si="2"/>
        <v>19</v>
      </c>
    </row>
    <row r="625" ht="14.25" customHeight="1">
      <c r="A625" s="18">
        <v>43957.0</v>
      </c>
      <c r="B625" s="13" t="s">
        <v>13</v>
      </c>
      <c r="C625" s="13"/>
      <c r="D625" s="13"/>
      <c r="E625" s="13">
        <f>SUMIFS('Лист2'!C:C, 'Лист2'!A:A, A625, 'Лист2'!B:B, B625)</f>
        <v>15</v>
      </c>
      <c r="F625" s="19">
        <v>839.0</v>
      </c>
      <c r="G625" s="19">
        <v>733.0</v>
      </c>
      <c r="H625" s="2">
        <f t="shared" si="1"/>
        <v>0</v>
      </c>
      <c r="I625" s="2">
        <f t="shared" si="2"/>
        <v>19</v>
      </c>
    </row>
    <row r="626" ht="14.25" customHeight="1">
      <c r="A626" s="18">
        <v>43957.0</v>
      </c>
      <c r="B626" s="13" t="s">
        <v>14</v>
      </c>
      <c r="C626" s="13"/>
      <c r="D626" s="13"/>
      <c r="E626" s="13">
        <f>SUMIFS('Лист2'!C:C, 'Лист2'!A:A, A626, 'Лист2'!B:B, B626)</f>
        <v>15</v>
      </c>
      <c r="F626" s="19">
        <v>467.0</v>
      </c>
      <c r="G626" s="19">
        <v>389.0</v>
      </c>
      <c r="H626" s="2">
        <f t="shared" si="1"/>
        <v>0</v>
      </c>
      <c r="I626" s="2">
        <f t="shared" si="2"/>
        <v>19</v>
      </c>
    </row>
    <row r="627" ht="14.25" customHeight="1">
      <c r="A627" s="18">
        <v>43957.0</v>
      </c>
      <c r="B627" s="13" t="s">
        <v>16</v>
      </c>
      <c r="C627" s="13"/>
      <c r="D627" s="13"/>
      <c r="E627" s="13">
        <f>SUMIFS('Лист2'!C:C, 'Лист2'!A:A, A627, 'Лист2'!B:B, B627)</f>
        <v>125</v>
      </c>
      <c r="F627" s="19">
        <v>20218.0</v>
      </c>
      <c r="G627" s="19">
        <v>18647.0</v>
      </c>
      <c r="H627" s="2">
        <f t="shared" si="1"/>
        <v>0</v>
      </c>
      <c r="I627" s="2">
        <f t="shared" si="2"/>
        <v>19</v>
      </c>
    </row>
    <row r="628" ht="14.25" customHeight="1">
      <c r="A628" s="18">
        <v>43957.0</v>
      </c>
      <c r="B628" s="13" t="s">
        <v>17</v>
      </c>
      <c r="C628" s="13"/>
      <c r="D628" s="13"/>
      <c r="E628" s="13">
        <f>SUMIFS('Лист2'!C:C, 'Лист2'!A:A, A628, 'Лист2'!B:B, B628)</f>
        <v>129</v>
      </c>
      <c r="F628" s="19">
        <v>16376.0</v>
      </c>
      <c r="G628" s="19">
        <v>15197.0</v>
      </c>
      <c r="H628" s="2">
        <f t="shared" si="1"/>
        <v>0</v>
      </c>
      <c r="I628" s="2">
        <f t="shared" si="2"/>
        <v>19</v>
      </c>
    </row>
    <row r="629" ht="14.25" customHeight="1">
      <c r="A629" s="18">
        <v>43957.0</v>
      </c>
      <c r="B629" s="13" t="s">
        <v>18</v>
      </c>
      <c r="C629" s="13"/>
      <c r="D629" s="13"/>
      <c r="E629" s="13">
        <f>SUMIFS('Лист2'!C:C, 'Лист2'!A:A, A629, 'Лист2'!B:B, B629)</f>
        <v>10</v>
      </c>
      <c r="F629" s="19">
        <v>465.0</v>
      </c>
      <c r="G629" s="19">
        <v>390.0</v>
      </c>
      <c r="H629" s="2">
        <f t="shared" si="1"/>
        <v>0</v>
      </c>
      <c r="I629" s="2">
        <f t="shared" si="2"/>
        <v>19</v>
      </c>
    </row>
    <row r="630" ht="14.25" customHeight="1">
      <c r="A630" s="18">
        <v>43958.0</v>
      </c>
      <c r="B630" s="13" t="s">
        <v>4</v>
      </c>
      <c r="C630" s="13"/>
      <c r="D630" s="13"/>
      <c r="E630" s="13">
        <f>SUMIFS('Лист2'!C:C, 'Лист2'!A:A, A630, 'Лист2'!B:B, B630)</f>
        <v>36</v>
      </c>
      <c r="F630" s="19">
        <v>4826.0</v>
      </c>
      <c r="G630" s="19">
        <v>4426.0</v>
      </c>
      <c r="H630" s="2">
        <f t="shared" si="1"/>
        <v>0</v>
      </c>
      <c r="I630" s="2">
        <f t="shared" si="2"/>
        <v>19</v>
      </c>
    </row>
    <row r="631" ht="14.25" customHeight="1">
      <c r="A631" s="18">
        <v>43958.0</v>
      </c>
      <c r="B631" s="13" t="s">
        <v>5</v>
      </c>
      <c r="C631" s="13"/>
      <c r="D631" s="13"/>
      <c r="E631" s="13">
        <f>SUMIFS('Лист2'!C:C, 'Лист2'!A:A, A631, 'Лист2'!B:B, B631)</f>
        <v>31</v>
      </c>
      <c r="F631" s="19">
        <v>4903.0</v>
      </c>
      <c r="G631" s="19">
        <v>4527.0</v>
      </c>
      <c r="H631" s="2">
        <f t="shared" si="1"/>
        <v>0</v>
      </c>
      <c r="I631" s="2">
        <f t="shared" si="2"/>
        <v>19</v>
      </c>
    </row>
    <row r="632" ht="14.25" customHeight="1">
      <c r="A632" s="18">
        <v>43958.0</v>
      </c>
      <c r="B632" s="13" t="s">
        <v>6</v>
      </c>
      <c r="C632" s="13"/>
      <c r="D632" s="13"/>
      <c r="E632" s="13">
        <f>SUMIFS('Лист2'!C:C, 'Лист2'!A:A, A632, 'Лист2'!B:B, B632)</f>
        <v>21</v>
      </c>
      <c r="F632" s="19">
        <v>1879.0</v>
      </c>
      <c r="G632" s="19">
        <v>1695.0</v>
      </c>
      <c r="H632" s="2">
        <f t="shared" si="1"/>
        <v>0</v>
      </c>
      <c r="I632" s="2">
        <f t="shared" si="2"/>
        <v>19</v>
      </c>
    </row>
    <row r="633" ht="14.25" customHeight="1">
      <c r="A633" s="18">
        <v>43958.0</v>
      </c>
      <c r="B633" s="13" t="s">
        <v>7</v>
      </c>
      <c r="C633" s="13"/>
      <c r="D633" s="13"/>
      <c r="E633" s="13">
        <f>SUMIFS('Лист2'!C:C, 'Лист2'!A:A, A633, 'Лист2'!B:B, B633)</f>
        <v>21</v>
      </c>
      <c r="F633" s="19">
        <v>1542.0</v>
      </c>
      <c r="G633" s="19">
        <v>1405.0</v>
      </c>
      <c r="H633" s="2">
        <f t="shared" si="1"/>
        <v>0</v>
      </c>
      <c r="I633" s="2">
        <f t="shared" si="2"/>
        <v>19</v>
      </c>
    </row>
    <row r="634" ht="14.25" customHeight="1">
      <c r="A634" s="18">
        <v>43958.0</v>
      </c>
      <c r="B634" s="13" t="s">
        <v>8</v>
      </c>
      <c r="C634" s="13"/>
      <c r="D634" s="13"/>
      <c r="E634" s="13">
        <f>SUMIFS('Лист2'!C:C, 'Лист2'!A:A, A634, 'Лист2'!B:B, B634)</f>
        <v>19</v>
      </c>
      <c r="F634" s="19">
        <v>1580.0</v>
      </c>
      <c r="G634" s="19">
        <v>1435.0</v>
      </c>
      <c r="H634" s="2">
        <f t="shared" si="1"/>
        <v>0</v>
      </c>
      <c r="I634" s="2">
        <f t="shared" si="2"/>
        <v>19</v>
      </c>
    </row>
    <row r="635" ht="14.25" customHeight="1">
      <c r="A635" s="18">
        <v>43958.0</v>
      </c>
      <c r="B635" s="13" t="s">
        <v>9</v>
      </c>
      <c r="C635" s="13"/>
      <c r="D635" s="13"/>
      <c r="E635" s="13">
        <f>SUMIFS('Лист2'!C:C, 'Лист2'!A:A, A635, 'Лист2'!B:B, B635)</f>
        <v>54</v>
      </c>
      <c r="F635" s="19">
        <v>12743.0</v>
      </c>
      <c r="G635" s="19">
        <v>11858.0</v>
      </c>
      <c r="H635" s="2">
        <f t="shared" si="1"/>
        <v>0</v>
      </c>
      <c r="I635" s="2">
        <f t="shared" si="2"/>
        <v>19</v>
      </c>
    </row>
    <row r="636" ht="14.25" customHeight="1">
      <c r="A636" s="18">
        <v>43958.0</v>
      </c>
      <c r="B636" s="13" t="s">
        <v>10</v>
      </c>
      <c r="C636" s="13"/>
      <c r="D636" s="13"/>
      <c r="E636" s="13">
        <f>SUMIFS('Лист2'!C:C, 'Лист2'!A:A, A636, 'Лист2'!B:B, B636)</f>
        <v>59</v>
      </c>
      <c r="F636" s="19">
        <v>13495.0</v>
      </c>
      <c r="G636" s="19">
        <v>12517.0</v>
      </c>
      <c r="H636" s="2">
        <f t="shared" si="1"/>
        <v>0</v>
      </c>
      <c r="I636" s="2">
        <f t="shared" si="2"/>
        <v>19</v>
      </c>
    </row>
    <row r="637" ht="14.25" customHeight="1">
      <c r="A637" s="18">
        <v>43958.0</v>
      </c>
      <c r="B637" s="13" t="s">
        <v>11</v>
      </c>
      <c r="C637" s="13"/>
      <c r="D637" s="13"/>
      <c r="E637" s="13">
        <f>SUMIFS('Лист2'!C:C, 'Лист2'!A:A, A637, 'Лист2'!B:B, B637)</f>
        <v>19</v>
      </c>
      <c r="F637" s="19">
        <v>1530.0</v>
      </c>
      <c r="G637" s="19">
        <v>1338.0</v>
      </c>
      <c r="H637" s="2">
        <f t="shared" si="1"/>
        <v>0</v>
      </c>
      <c r="I637" s="2">
        <f t="shared" si="2"/>
        <v>19</v>
      </c>
    </row>
    <row r="638" ht="14.25" customHeight="1">
      <c r="A638" s="18">
        <v>43958.0</v>
      </c>
      <c r="B638" s="13" t="s">
        <v>12</v>
      </c>
      <c r="C638" s="13"/>
      <c r="D638" s="13"/>
      <c r="E638" s="13">
        <f>SUMIFS('Лист2'!C:C, 'Лист2'!A:A, A638, 'Лист2'!B:B, B638)</f>
        <v>15</v>
      </c>
      <c r="F638" s="19">
        <v>676.0</v>
      </c>
      <c r="G638" s="19">
        <v>591.0</v>
      </c>
      <c r="H638" s="2">
        <f t="shared" si="1"/>
        <v>0</v>
      </c>
      <c r="I638" s="2">
        <f t="shared" si="2"/>
        <v>19</v>
      </c>
    </row>
    <row r="639" ht="14.25" customHeight="1">
      <c r="A639" s="18">
        <v>43958.0</v>
      </c>
      <c r="B639" s="13" t="s">
        <v>13</v>
      </c>
      <c r="C639" s="13"/>
      <c r="D639" s="13"/>
      <c r="E639" s="13">
        <f>SUMIFS('Лист2'!C:C, 'Лист2'!A:A, A639, 'Лист2'!B:B, B639)</f>
        <v>15</v>
      </c>
      <c r="F639" s="19">
        <v>805.0</v>
      </c>
      <c r="G639" s="19">
        <v>703.0</v>
      </c>
      <c r="H639" s="2">
        <f t="shared" si="1"/>
        <v>0</v>
      </c>
      <c r="I639" s="2">
        <f t="shared" si="2"/>
        <v>19</v>
      </c>
    </row>
    <row r="640" ht="14.25" customHeight="1">
      <c r="A640" s="18">
        <v>43958.0</v>
      </c>
      <c r="B640" s="13" t="s">
        <v>14</v>
      </c>
      <c r="C640" s="13"/>
      <c r="D640" s="13"/>
      <c r="E640" s="13">
        <f>SUMIFS('Лист2'!C:C, 'Лист2'!A:A, A640, 'Лист2'!B:B, B640)</f>
        <v>15</v>
      </c>
      <c r="F640" s="19">
        <v>480.0</v>
      </c>
      <c r="G640" s="19">
        <v>398.0</v>
      </c>
      <c r="H640" s="2">
        <f t="shared" si="1"/>
        <v>0</v>
      </c>
      <c r="I640" s="2">
        <f t="shared" si="2"/>
        <v>19</v>
      </c>
    </row>
    <row r="641" ht="14.25" customHeight="1">
      <c r="A641" s="18">
        <v>43958.0</v>
      </c>
      <c r="B641" s="13" t="s">
        <v>16</v>
      </c>
      <c r="C641" s="13"/>
      <c r="D641" s="13"/>
      <c r="E641" s="13">
        <f>SUMIFS('Лист2'!C:C, 'Лист2'!A:A, A641, 'Лист2'!B:B, B641)</f>
        <v>125</v>
      </c>
      <c r="F641" s="19">
        <v>18014.0</v>
      </c>
      <c r="G641" s="19">
        <v>16675.0</v>
      </c>
      <c r="H641" s="2">
        <f t="shared" si="1"/>
        <v>0</v>
      </c>
      <c r="I641" s="2">
        <f t="shared" si="2"/>
        <v>19</v>
      </c>
    </row>
    <row r="642" ht="14.25" customHeight="1">
      <c r="A642" s="18">
        <v>43958.0</v>
      </c>
      <c r="B642" s="13" t="s">
        <v>17</v>
      </c>
      <c r="C642" s="13"/>
      <c r="D642" s="13"/>
      <c r="E642" s="13">
        <f>SUMIFS('Лист2'!C:C, 'Лист2'!A:A, A642, 'Лист2'!B:B, B642)</f>
        <v>129</v>
      </c>
      <c r="F642" s="19">
        <v>14582.0</v>
      </c>
      <c r="G642" s="19">
        <v>13512.0</v>
      </c>
      <c r="H642" s="2">
        <f t="shared" si="1"/>
        <v>0</v>
      </c>
      <c r="I642" s="2">
        <f t="shared" si="2"/>
        <v>19</v>
      </c>
    </row>
    <row r="643" ht="14.25" customHeight="1">
      <c r="A643" s="18">
        <v>43958.0</v>
      </c>
      <c r="B643" s="13" t="s">
        <v>18</v>
      </c>
      <c r="C643" s="13"/>
      <c r="D643" s="13"/>
      <c r="E643" s="13">
        <f>SUMIFS('Лист2'!C:C, 'Лист2'!A:A, A643, 'Лист2'!B:B, B643)</f>
        <v>10</v>
      </c>
      <c r="F643" s="19">
        <v>563.0</v>
      </c>
      <c r="G643" s="19">
        <v>486.0</v>
      </c>
      <c r="H643" s="2">
        <f t="shared" si="1"/>
        <v>0</v>
      </c>
      <c r="I643" s="2">
        <f t="shared" si="2"/>
        <v>19</v>
      </c>
    </row>
    <row r="644" ht="14.25" customHeight="1">
      <c r="A644" s="18">
        <v>43959.0</v>
      </c>
      <c r="B644" s="13" t="s">
        <v>4</v>
      </c>
      <c r="C644" s="13"/>
      <c r="D644" s="13"/>
      <c r="E644" s="13">
        <f>SUMIFS('Лист2'!C:C, 'Лист2'!A:A, A644, 'Лист2'!B:B, B644)</f>
        <v>36</v>
      </c>
      <c r="F644" s="19">
        <v>4199.0</v>
      </c>
      <c r="G644" s="19">
        <v>3867.0</v>
      </c>
      <c r="H644" s="2">
        <f t="shared" si="1"/>
        <v>0</v>
      </c>
      <c r="I644" s="2">
        <f t="shared" si="2"/>
        <v>19</v>
      </c>
    </row>
    <row r="645" ht="14.25" customHeight="1">
      <c r="A645" s="18">
        <v>43959.0</v>
      </c>
      <c r="B645" s="13" t="s">
        <v>5</v>
      </c>
      <c r="C645" s="13"/>
      <c r="D645" s="13"/>
      <c r="E645" s="13">
        <f>SUMIFS('Лист2'!C:C, 'Лист2'!A:A, A645, 'Лист2'!B:B, B645)</f>
        <v>31</v>
      </c>
      <c r="F645" s="19">
        <v>4635.0</v>
      </c>
      <c r="G645" s="19">
        <v>4266.0</v>
      </c>
      <c r="H645" s="2">
        <f t="shared" si="1"/>
        <v>0</v>
      </c>
      <c r="I645" s="2">
        <f t="shared" si="2"/>
        <v>19</v>
      </c>
    </row>
    <row r="646" ht="14.25" customHeight="1">
      <c r="A646" s="18">
        <v>43959.0</v>
      </c>
      <c r="B646" s="13" t="s">
        <v>6</v>
      </c>
      <c r="C646" s="13"/>
      <c r="D646" s="13"/>
      <c r="E646" s="13">
        <f>SUMIFS('Лист2'!C:C, 'Лист2'!A:A, A646, 'Лист2'!B:B, B646)</f>
        <v>21</v>
      </c>
      <c r="F646" s="19">
        <v>1957.0</v>
      </c>
      <c r="G646" s="19">
        <v>1755.0</v>
      </c>
      <c r="H646" s="2">
        <f t="shared" si="1"/>
        <v>0</v>
      </c>
      <c r="I646" s="2">
        <f t="shared" si="2"/>
        <v>19</v>
      </c>
    </row>
    <row r="647" ht="14.25" customHeight="1">
      <c r="A647" s="18">
        <v>43959.0</v>
      </c>
      <c r="B647" s="13" t="s">
        <v>7</v>
      </c>
      <c r="C647" s="13"/>
      <c r="D647" s="13"/>
      <c r="E647" s="13">
        <f>SUMIFS('Лист2'!C:C, 'Лист2'!A:A, A647, 'Лист2'!B:B, B647)</f>
        <v>21</v>
      </c>
      <c r="F647" s="19">
        <v>1646.0</v>
      </c>
      <c r="G647" s="19">
        <v>1492.0</v>
      </c>
      <c r="H647" s="2">
        <f t="shared" si="1"/>
        <v>0</v>
      </c>
      <c r="I647" s="2">
        <f t="shared" si="2"/>
        <v>19</v>
      </c>
    </row>
    <row r="648" ht="14.25" customHeight="1">
      <c r="A648" s="18">
        <v>43959.0</v>
      </c>
      <c r="B648" s="13" t="s">
        <v>8</v>
      </c>
      <c r="C648" s="13"/>
      <c r="D648" s="13"/>
      <c r="E648" s="13">
        <f>SUMIFS('Лист2'!C:C, 'Лист2'!A:A, A648, 'Лист2'!B:B, B648)</f>
        <v>19</v>
      </c>
      <c r="F648" s="19">
        <v>1520.0</v>
      </c>
      <c r="G648" s="19">
        <v>1380.0</v>
      </c>
      <c r="H648" s="2">
        <f t="shared" si="1"/>
        <v>0</v>
      </c>
      <c r="I648" s="2">
        <f t="shared" si="2"/>
        <v>19</v>
      </c>
    </row>
    <row r="649" ht="14.25" customHeight="1">
      <c r="A649" s="18">
        <v>43959.0</v>
      </c>
      <c r="B649" s="13" t="s">
        <v>9</v>
      </c>
      <c r="C649" s="13"/>
      <c r="D649" s="13"/>
      <c r="E649" s="13">
        <f>SUMIFS('Лист2'!C:C, 'Лист2'!A:A, A649, 'Лист2'!B:B, B649)</f>
        <v>54</v>
      </c>
      <c r="F649" s="19">
        <v>13563.0</v>
      </c>
      <c r="G649" s="19">
        <v>12604.0</v>
      </c>
      <c r="H649" s="2">
        <f t="shared" si="1"/>
        <v>0</v>
      </c>
      <c r="I649" s="2">
        <f t="shared" si="2"/>
        <v>19</v>
      </c>
    </row>
    <row r="650" ht="14.25" customHeight="1">
      <c r="A650" s="18">
        <v>43959.0</v>
      </c>
      <c r="B650" s="13" t="s">
        <v>10</v>
      </c>
      <c r="C650" s="13"/>
      <c r="D650" s="13"/>
      <c r="E650" s="13">
        <f>SUMIFS('Лист2'!C:C, 'Лист2'!A:A, A650, 'Лист2'!B:B, B650)</f>
        <v>59</v>
      </c>
      <c r="F650" s="19">
        <v>14098.0</v>
      </c>
      <c r="G650" s="19">
        <v>13106.0</v>
      </c>
      <c r="H650" s="2">
        <f t="shared" si="1"/>
        <v>0</v>
      </c>
      <c r="I650" s="2">
        <f t="shared" si="2"/>
        <v>19</v>
      </c>
    </row>
    <row r="651" ht="14.25" customHeight="1">
      <c r="A651" s="18">
        <v>43959.0</v>
      </c>
      <c r="B651" s="13" t="s">
        <v>11</v>
      </c>
      <c r="C651" s="13"/>
      <c r="D651" s="13"/>
      <c r="E651" s="13">
        <f>SUMIFS('Лист2'!C:C, 'Лист2'!A:A, A651, 'Лист2'!B:B, B651)</f>
        <v>19</v>
      </c>
      <c r="F651" s="19">
        <v>1522.0</v>
      </c>
      <c r="G651" s="19">
        <v>1340.0</v>
      </c>
      <c r="H651" s="2">
        <f t="shared" si="1"/>
        <v>0</v>
      </c>
      <c r="I651" s="2">
        <f t="shared" si="2"/>
        <v>19</v>
      </c>
    </row>
    <row r="652" ht="14.25" customHeight="1">
      <c r="A652" s="18">
        <v>43959.0</v>
      </c>
      <c r="B652" s="13" t="s">
        <v>12</v>
      </c>
      <c r="C652" s="13"/>
      <c r="D652" s="13"/>
      <c r="E652" s="13">
        <f>SUMIFS('Лист2'!C:C, 'Лист2'!A:A, A652, 'Лист2'!B:B, B652)</f>
        <v>15</v>
      </c>
      <c r="F652" s="19">
        <v>703.0</v>
      </c>
      <c r="G652" s="19">
        <v>609.0</v>
      </c>
      <c r="H652" s="2">
        <f t="shared" si="1"/>
        <v>0</v>
      </c>
      <c r="I652" s="2">
        <f t="shared" si="2"/>
        <v>19</v>
      </c>
    </row>
    <row r="653" ht="14.25" customHeight="1">
      <c r="A653" s="18">
        <v>43959.0</v>
      </c>
      <c r="B653" s="13" t="s">
        <v>13</v>
      </c>
      <c r="C653" s="13"/>
      <c r="D653" s="13"/>
      <c r="E653" s="13">
        <f>SUMIFS('Лист2'!C:C, 'Лист2'!A:A, A653, 'Лист2'!B:B, B653)</f>
        <v>15</v>
      </c>
      <c r="F653" s="19">
        <v>879.0</v>
      </c>
      <c r="G653" s="19">
        <v>768.0</v>
      </c>
      <c r="H653" s="2">
        <f t="shared" si="1"/>
        <v>0</v>
      </c>
      <c r="I653" s="2">
        <f t="shared" si="2"/>
        <v>19</v>
      </c>
    </row>
    <row r="654" ht="14.25" customHeight="1">
      <c r="A654" s="18">
        <v>43959.0</v>
      </c>
      <c r="B654" s="13" t="s">
        <v>14</v>
      </c>
      <c r="C654" s="13"/>
      <c r="D654" s="13"/>
      <c r="E654" s="13">
        <f>SUMIFS('Лист2'!C:C, 'Лист2'!A:A, A654, 'Лист2'!B:B, B654)</f>
        <v>15</v>
      </c>
      <c r="F654" s="19">
        <v>492.0</v>
      </c>
      <c r="G654" s="19">
        <v>412.0</v>
      </c>
      <c r="H654" s="2">
        <f t="shared" si="1"/>
        <v>0</v>
      </c>
      <c r="I654" s="2">
        <f t="shared" si="2"/>
        <v>19</v>
      </c>
    </row>
    <row r="655" ht="14.25" customHeight="1">
      <c r="A655" s="18">
        <v>43959.0</v>
      </c>
      <c r="B655" s="13" t="s">
        <v>16</v>
      </c>
      <c r="C655" s="13"/>
      <c r="D655" s="13"/>
      <c r="E655" s="13">
        <f>SUMIFS('Лист2'!C:C, 'Лист2'!A:A, A655, 'Лист2'!B:B, B655)</f>
        <v>125</v>
      </c>
      <c r="F655" s="19">
        <v>24620.0</v>
      </c>
      <c r="G655" s="19">
        <v>22641.0</v>
      </c>
      <c r="H655" s="2">
        <f t="shared" si="1"/>
        <v>0</v>
      </c>
      <c r="I655" s="2">
        <f t="shared" si="2"/>
        <v>19</v>
      </c>
    </row>
    <row r="656" ht="14.25" customHeight="1">
      <c r="A656" s="18">
        <v>43959.0</v>
      </c>
      <c r="B656" s="13" t="s">
        <v>17</v>
      </c>
      <c r="C656" s="13"/>
      <c r="D656" s="13"/>
      <c r="E656" s="13">
        <f>SUMIFS('Лист2'!C:C, 'Лист2'!A:A, A656, 'Лист2'!B:B, B656)</f>
        <v>129</v>
      </c>
      <c r="F656" s="19">
        <v>20452.0</v>
      </c>
      <c r="G656" s="19">
        <v>18857.0</v>
      </c>
      <c r="H656" s="2">
        <f t="shared" si="1"/>
        <v>0</v>
      </c>
      <c r="I656" s="2">
        <f t="shared" si="2"/>
        <v>19</v>
      </c>
    </row>
    <row r="657" ht="14.25" customHeight="1">
      <c r="A657" s="18">
        <v>43959.0</v>
      </c>
      <c r="B657" s="13" t="s">
        <v>18</v>
      </c>
      <c r="C657" s="13"/>
      <c r="D657" s="13"/>
      <c r="E657" s="13">
        <f>SUMIFS('Лист2'!C:C, 'Лист2'!A:A, A657, 'Лист2'!B:B, B657)</f>
        <v>10</v>
      </c>
      <c r="F657" s="19">
        <v>638.0</v>
      </c>
      <c r="G657" s="19">
        <v>547.0</v>
      </c>
      <c r="H657" s="2">
        <f t="shared" si="1"/>
        <v>0</v>
      </c>
      <c r="I657" s="2">
        <f t="shared" si="2"/>
        <v>19</v>
      </c>
    </row>
    <row r="658" ht="14.25" customHeight="1">
      <c r="A658" s="18">
        <v>43960.0</v>
      </c>
      <c r="B658" s="13" t="s">
        <v>4</v>
      </c>
      <c r="C658" s="13"/>
      <c r="D658" s="13"/>
      <c r="E658" s="13">
        <f>SUMIFS('Лист2'!C:C, 'Лист2'!A:A, A658, 'Лист2'!B:B, B658)</f>
        <v>36</v>
      </c>
      <c r="F658" s="19">
        <v>5413.0</v>
      </c>
      <c r="G658" s="19">
        <v>4959.0</v>
      </c>
      <c r="H658" s="2">
        <f t="shared" si="1"/>
        <v>0</v>
      </c>
      <c r="I658" s="2">
        <f t="shared" si="2"/>
        <v>19</v>
      </c>
    </row>
    <row r="659" ht="14.25" customHeight="1">
      <c r="A659" s="18">
        <v>43960.0</v>
      </c>
      <c r="B659" s="13" t="s">
        <v>5</v>
      </c>
      <c r="C659" s="13"/>
      <c r="D659" s="13"/>
      <c r="E659" s="13">
        <f>SUMIFS('Лист2'!C:C, 'Лист2'!A:A, A659, 'Лист2'!B:B, B659)</f>
        <v>31</v>
      </c>
      <c r="F659" s="19">
        <v>4556.0</v>
      </c>
      <c r="G659" s="19">
        <v>4220.0</v>
      </c>
      <c r="H659" s="2">
        <f t="shared" si="1"/>
        <v>0</v>
      </c>
      <c r="I659" s="2">
        <f t="shared" si="2"/>
        <v>19</v>
      </c>
    </row>
    <row r="660" ht="14.25" customHeight="1">
      <c r="A660" s="18">
        <v>43960.0</v>
      </c>
      <c r="B660" s="13" t="s">
        <v>6</v>
      </c>
      <c r="C660" s="13"/>
      <c r="D660" s="13"/>
      <c r="E660" s="13">
        <f>SUMIFS('Лист2'!C:C, 'Лист2'!A:A, A660, 'Лист2'!B:B, B660)</f>
        <v>21</v>
      </c>
      <c r="F660" s="19">
        <v>1891.0</v>
      </c>
      <c r="G660" s="19">
        <v>1709.0</v>
      </c>
      <c r="H660" s="2">
        <f t="shared" si="1"/>
        <v>0</v>
      </c>
      <c r="I660" s="2">
        <f t="shared" si="2"/>
        <v>19</v>
      </c>
    </row>
    <row r="661" ht="14.25" customHeight="1">
      <c r="A661" s="18">
        <v>43960.0</v>
      </c>
      <c r="B661" s="13" t="s">
        <v>7</v>
      </c>
      <c r="C661" s="13"/>
      <c r="D661" s="13"/>
      <c r="E661" s="13">
        <f>SUMIFS('Лист2'!C:C, 'Лист2'!A:A, A661, 'Лист2'!B:B, B661)</f>
        <v>21</v>
      </c>
      <c r="F661" s="19">
        <v>1735.0</v>
      </c>
      <c r="G661" s="19">
        <v>1568.0</v>
      </c>
      <c r="H661" s="2">
        <f t="shared" si="1"/>
        <v>0</v>
      </c>
      <c r="I661" s="2">
        <f t="shared" si="2"/>
        <v>19</v>
      </c>
    </row>
    <row r="662" ht="14.25" customHeight="1">
      <c r="A662" s="18">
        <v>43960.0</v>
      </c>
      <c r="B662" s="13" t="s">
        <v>8</v>
      </c>
      <c r="C662" s="13"/>
      <c r="D662" s="13"/>
      <c r="E662" s="13">
        <f>SUMIFS('Лист2'!C:C, 'Лист2'!A:A, A662, 'Лист2'!B:B, B662)</f>
        <v>19</v>
      </c>
      <c r="F662" s="19">
        <v>1542.0</v>
      </c>
      <c r="G662" s="19">
        <v>1412.0</v>
      </c>
      <c r="H662" s="2">
        <f t="shared" si="1"/>
        <v>0</v>
      </c>
      <c r="I662" s="2">
        <f t="shared" si="2"/>
        <v>19</v>
      </c>
    </row>
    <row r="663" ht="14.25" customHeight="1">
      <c r="A663" s="18">
        <v>43960.0</v>
      </c>
      <c r="B663" s="13" t="s">
        <v>9</v>
      </c>
      <c r="C663" s="13"/>
      <c r="D663" s="13"/>
      <c r="E663" s="13">
        <f>SUMIFS('Лист2'!C:C, 'Лист2'!A:A, A663, 'Лист2'!B:B, B663)</f>
        <v>54</v>
      </c>
      <c r="F663" s="19">
        <v>11288.0</v>
      </c>
      <c r="G663" s="19">
        <v>10492.0</v>
      </c>
      <c r="H663" s="2">
        <f t="shared" si="1"/>
        <v>0</v>
      </c>
      <c r="I663" s="2">
        <f t="shared" si="2"/>
        <v>19</v>
      </c>
    </row>
    <row r="664" ht="14.25" customHeight="1">
      <c r="A664" s="18">
        <v>43960.0</v>
      </c>
      <c r="B664" s="13" t="s">
        <v>10</v>
      </c>
      <c r="C664" s="13"/>
      <c r="D664" s="13"/>
      <c r="E664" s="13">
        <f>SUMIFS('Лист2'!C:C, 'Лист2'!A:A, A664, 'Лист2'!B:B, B664)</f>
        <v>59</v>
      </c>
      <c r="F664" s="19">
        <v>12016.0</v>
      </c>
      <c r="G664" s="19">
        <v>11137.0</v>
      </c>
      <c r="H664" s="2">
        <f t="shared" si="1"/>
        <v>0</v>
      </c>
      <c r="I664" s="2">
        <f t="shared" si="2"/>
        <v>19</v>
      </c>
    </row>
    <row r="665" ht="14.25" customHeight="1">
      <c r="A665" s="18">
        <v>43960.0</v>
      </c>
      <c r="B665" s="13" t="s">
        <v>11</v>
      </c>
      <c r="C665" s="13"/>
      <c r="D665" s="13"/>
      <c r="E665" s="13">
        <f>SUMIFS('Лист2'!C:C, 'Лист2'!A:A, A665, 'Лист2'!B:B, B665)</f>
        <v>19</v>
      </c>
      <c r="F665" s="19">
        <v>1851.0</v>
      </c>
      <c r="G665" s="19">
        <v>1635.0</v>
      </c>
      <c r="H665" s="2">
        <f t="shared" si="1"/>
        <v>0</v>
      </c>
      <c r="I665" s="2">
        <f t="shared" si="2"/>
        <v>19</v>
      </c>
    </row>
    <row r="666" ht="14.25" customHeight="1">
      <c r="A666" s="18">
        <v>43960.0</v>
      </c>
      <c r="B666" s="13" t="s">
        <v>12</v>
      </c>
      <c r="C666" s="13"/>
      <c r="D666" s="13"/>
      <c r="E666" s="13">
        <f>SUMIFS('Лист2'!C:C, 'Лист2'!A:A, A666, 'Лист2'!B:B, B666)</f>
        <v>15</v>
      </c>
      <c r="F666" s="19">
        <v>654.0</v>
      </c>
      <c r="G666" s="19">
        <v>570.0</v>
      </c>
      <c r="H666" s="2">
        <f t="shared" si="1"/>
        <v>0</v>
      </c>
      <c r="I666" s="2">
        <f t="shared" si="2"/>
        <v>19</v>
      </c>
    </row>
    <row r="667" ht="14.25" customHeight="1">
      <c r="A667" s="18">
        <v>43960.0</v>
      </c>
      <c r="B667" s="13" t="s">
        <v>13</v>
      </c>
      <c r="C667" s="13"/>
      <c r="D667" s="13"/>
      <c r="E667" s="13">
        <f>SUMIFS('Лист2'!C:C, 'Лист2'!A:A, A667, 'Лист2'!B:B, B667)</f>
        <v>15</v>
      </c>
      <c r="F667" s="19">
        <v>849.0</v>
      </c>
      <c r="G667" s="19">
        <v>740.0</v>
      </c>
      <c r="H667" s="2">
        <f t="shared" si="1"/>
        <v>0</v>
      </c>
      <c r="I667" s="2">
        <f t="shared" si="2"/>
        <v>19</v>
      </c>
    </row>
    <row r="668" ht="14.25" customHeight="1">
      <c r="A668" s="18">
        <v>43960.0</v>
      </c>
      <c r="B668" s="13" t="s">
        <v>14</v>
      </c>
      <c r="C668" s="13"/>
      <c r="D668" s="13"/>
      <c r="E668" s="13">
        <f>SUMIFS('Лист2'!C:C, 'Лист2'!A:A, A668, 'Лист2'!B:B, B668)</f>
        <v>15</v>
      </c>
      <c r="F668" s="19">
        <v>623.0</v>
      </c>
      <c r="G668" s="19">
        <v>535.0</v>
      </c>
      <c r="H668" s="2">
        <f t="shared" si="1"/>
        <v>0</v>
      </c>
      <c r="I668" s="2">
        <f t="shared" si="2"/>
        <v>19</v>
      </c>
    </row>
    <row r="669" ht="14.25" customHeight="1">
      <c r="A669" s="18">
        <v>43960.0</v>
      </c>
      <c r="B669" s="13" t="s">
        <v>16</v>
      </c>
      <c r="C669" s="13"/>
      <c r="D669" s="13"/>
      <c r="E669" s="13">
        <f>SUMIFS('Лист2'!C:C, 'Лист2'!A:A, A669, 'Лист2'!B:B, B669)</f>
        <v>125</v>
      </c>
      <c r="F669" s="19">
        <v>20132.0</v>
      </c>
      <c r="G669" s="19">
        <v>18617.0</v>
      </c>
      <c r="H669" s="2">
        <f t="shared" si="1"/>
        <v>0</v>
      </c>
      <c r="I669" s="2">
        <f t="shared" si="2"/>
        <v>19</v>
      </c>
    </row>
    <row r="670" ht="14.25" customHeight="1">
      <c r="A670" s="18">
        <v>43960.0</v>
      </c>
      <c r="B670" s="13" t="s">
        <v>17</v>
      </c>
      <c r="C670" s="13"/>
      <c r="D670" s="13"/>
      <c r="E670" s="13">
        <f>SUMIFS('Лист2'!C:C, 'Лист2'!A:A, A670, 'Лист2'!B:B, B670)</f>
        <v>129</v>
      </c>
      <c r="F670" s="19">
        <v>16420.0</v>
      </c>
      <c r="G670" s="19">
        <v>15169.0</v>
      </c>
      <c r="H670" s="2">
        <f t="shared" si="1"/>
        <v>0</v>
      </c>
      <c r="I670" s="2">
        <f t="shared" si="2"/>
        <v>19</v>
      </c>
    </row>
    <row r="671" ht="14.25" customHeight="1">
      <c r="A671" s="18">
        <v>43960.0</v>
      </c>
      <c r="B671" s="13" t="s">
        <v>18</v>
      </c>
      <c r="C671" s="13"/>
      <c r="D671" s="13"/>
      <c r="E671" s="13">
        <f>SUMIFS('Лист2'!C:C, 'Лист2'!A:A, A671, 'Лист2'!B:B, B671)</f>
        <v>10</v>
      </c>
      <c r="F671" s="19">
        <v>644.0</v>
      </c>
      <c r="G671" s="19">
        <v>559.0</v>
      </c>
      <c r="H671" s="2">
        <f t="shared" si="1"/>
        <v>0</v>
      </c>
      <c r="I671" s="2">
        <f t="shared" si="2"/>
        <v>19</v>
      </c>
    </row>
    <row r="672" ht="14.25" customHeight="1">
      <c r="A672" s="18">
        <v>43961.0</v>
      </c>
      <c r="B672" s="13" t="s">
        <v>4</v>
      </c>
      <c r="C672" s="13"/>
      <c r="D672" s="13"/>
      <c r="E672" s="13">
        <f>SUMIFS('Лист2'!C:C, 'Лист2'!A:A, A672, 'Лист2'!B:B, B672)</f>
        <v>36</v>
      </c>
      <c r="F672" s="19">
        <v>5746.0</v>
      </c>
      <c r="G672" s="19">
        <v>5277.0</v>
      </c>
      <c r="H672" s="2">
        <f t="shared" si="1"/>
        <v>0</v>
      </c>
      <c r="I672" s="2">
        <f t="shared" si="2"/>
        <v>19</v>
      </c>
    </row>
    <row r="673" ht="14.25" customHeight="1">
      <c r="A673" s="18">
        <v>43961.0</v>
      </c>
      <c r="B673" s="13" t="s">
        <v>5</v>
      </c>
      <c r="C673" s="13"/>
      <c r="D673" s="13"/>
      <c r="E673" s="13">
        <f>SUMIFS('Лист2'!C:C, 'Лист2'!A:A, A673, 'Лист2'!B:B, B673)</f>
        <v>31</v>
      </c>
      <c r="F673" s="19">
        <v>5495.0</v>
      </c>
      <c r="G673" s="19">
        <v>5093.0</v>
      </c>
      <c r="H673" s="2">
        <f t="shared" si="1"/>
        <v>0</v>
      </c>
      <c r="I673" s="2">
        <f t="shared" si="2"/>
        <v>19</v>
      </c>
    </row>
    <row r="674" ht="14.25" customHeight="1">
      <c r="A674" s="18">
        <v>43961.0</v>
      </c>
      <c r="B674" s="13" t="s">
        <v>6</v>
      </c>
      <c r="C674" s="13"/>
      <c r="D674" s="13"/>
      <c r="E674" s="13">
        <f>SUMIFS('Лист2'!C:C, 'Лист2'!A:A, A674, 'Лист2'!B:B, B674)</f>
        <v>21</v>
      </c>
      <c r="F674" s="19">
        <v>2120.0</v>
      </c>
      <c r="G674" s="19">
        <v>1921.0</v>
      </c>
      <c r="H674" s="2">
        <f t="shared" si="1"/>
        <v>0</v>
      </c>
      <c r="I674" s="2">
        <f t="shared" si="2"/>
        <v>19</v>
      </c>
    </row>
    <row r="675" ht="14.25" customHeight="1">
      <c r="A675" s="18">
        <v>43961.0</v>
      </c>
      <c r="B675" s="13" t="s">
        <v>7</v>
      </c>
      <c r="C675" s="13"/>
      <c r="D675" s="13"/>
      <c r="E675" s="13">
        <f>SUMIFS('Лист2'!C:C, 'Лист2'!A:A, A675, 'Лист2'!B:B, B675)</f>
        <v>21</v>
      </c>
      <c r="F675" s="19">
        <v>2016.0</v>
      </c>
      <c r="G675" s="19">
        <v>1846.0</v>
      </c>
      <c r="H675" s="2">
        <f t="shared" si="1"/>
        <v>0</v>
      </c>
      <c r="I675" s="2">
        <f t="shared" si="2"/>
        <v>19</v>
      </c>
    </row>
    <row r="676" ht="14.25" customHeight="1">
      <c r="A676" s="18">
        <v>43961.0</v>
      </c>
      <c r="B676" s="13" t="s">
        <v>8</v>
      </c>
      <c r="C676" s="13"/>
      <c r="D676" s="13"/>
      <c r="E676" s="13">
        <f>SUMIFS('Лист2'!C:C, 'Лист2'!A:A, A676, 'Лист2'!B:B, B676)</f>
        <v>19</v>
      </c>
      <c r="F676" s="19">
        <v>1836.0</v>
      </c>
      <c r="G676" s="19">
        <v>1680.0</v>
      </c>
      <c r="H676" s="2">
        <f t="shared" si="1"/>
        <v>0</v>
      </c>
      <c r="I676" s="2">
        <f t="shared" si="2"/>
        <v>19</v>
      </c>
    </row>
    <row r="677" ht="14.25" customHeight="1">
      <c r="A677" s="18">
        <v>43961.0</v>
      </c>
      <c r="B677" s="13" t="s">
        <v>9</v>
      </c>
      <c r="C677" s="13"/>
      <c r="D677" s="13"/>
      <c r="E677" s="13">
        <f>SUMIFS('Лист2'!C:C, 'Лист2'!A:A, A677, 'Лист2'!B:B, B677)</f>
        <v>54</v>
      </c>
      <c r="F677" s="19">
        <v>13832.0</v>
      </c>
      <c r="G677" s="19">
        <v>12864.0</v>
      </c>
      <c r="H677" s="2">
        <f t="shared" si="1"/>
        <v>0</v>
      </c>
      <c r="I677" s="2">
        <f t="shared" si="2"/>
        <v>19</v>
      </c>
    </row>
    <row r="678" ht="14.25" customHeight="1">
      <c r="A678" s="18">
        <v>43961.0</v>
      </c>
      <c r="B678" s="13" t="s">
        <v>10</v>
      </c>
      <c r="C678" s="13"/>
      <c r="D678" s="13"/>
      <c r="E678" s="13">
        <f>SUMIFS('Лист2'!C:C, 'Лист2'!A:A, A678, 'Лист2'!B:B, B678)</f>
        <v>59</v>
      </c>
      <c r="F678" s="19">
        <v>14569.0</v>
      </c>
      <c r="G678" s="19">
        <v>13566.0</v>
      </c>
      <c r="H678" s="2">
        <f t="shared" si="1"/>
        <v>0</v>
      </c>
      <c r="I678" s="2">
        <f t="shared" si="2"/>
        <v>19</v>
      </c>
    </row>
    <row r="679" ht="14.25" customHeight="1">
      <c r="A679" s="18">
        <v>43961.0</v>
      </c>
      <c r="B679" s="13" t="s">
        <v>11</v>
      </c>
      <c r="C679" s="13"/>
      <c r="D679" s="13"/>
      <c r="E679" s="13">
        <f>SUMIFS('Лист2'!C:C, 'Лист2'!A:A, A679, 'Лист2'!B:B, B679)</f>
        <v>19</v>
      </c>
      <c r="F679" s="19">
        <v>1848.0</v>
      </c>
      <c r="G679" s="19">
        <v>1649.0</v>
      </c>
      <c r="H679" s="2">
        <f t="shared" si="1"/>
        <v>0</v>
      </c>
      <c r="I679" s="2">
        <f t="shared" si="2"/>
        <v>19</v>
      </c>
    </row>
    <row r="680" ht="14.25" customHeight="1">
      <c r="A680" s="18">
        <v>43961.0</v>
      </c>
      <c r="B680" s="13" t="s">
        <v>12</v>
      </c>
      <c r="C680" s="13"/>
      <c r="D680" s="13"/>
      <c r="E680" s="13">
        <f>SUMIFS('Лист2'!C:C, 'Лист2'!A:A, A680, 'Лист2'!B:B, B680)</f>
        <v>15</v>
      </c>
      <c r="F680" s="19">
        <v>792.0</v>
      </c>
      <c r="G680" s="19">
        <v>695.0</v>
      </c>
      <c r="H680" s="2">
        <f t="shared" si="1"/>
        <v>0</v>
      </c>
      <c r="I680" s="2">
        <f t="shared" si="2"/>
        <v>19</v>
      </c>
    </row>
    <row r="681" ht="14.25" customHeight="1">
      <c r="A681" s="18">
        <v>43961.0</v>
      </c>
      <c r="B681" s="13" t="s">
        <v>13</v>
      </c>
      <c r="C681" s="13"/>
      <c r="D681" s="13"/>
      <c r="E681" s="13">
        <f>SUMIFS('Лист2'!C:C, 'Лист2'!A:A, A681, 'Лист2'!B:B, B681)</f>
        <v>15</v>
      </c>
      <c r="F681" s="19">
        <v>950.0</v>
      </c>
      <c r="G681" s="19">
        <v>848.0</v>
      </c>
      <c r="H681" s="2">
        <f t="shared" si="1"/>
        <v>0</v>
      </c>
      <c r="I681" s="2">
        <f t="shared" si="2"/>
        <v>19</v>
      </c>
    </row>
    <row r="682" ht="14.25" customHeight="1">
      <c r="A682" s="18">
        <v>43961.0</v>
      </c>
      <c r="B682" s="13" t="s">
        <v>14</v>
      </c>
      <c r="C682" s="13"/>
      <c r="D682" s="13"/>
      <c r="E682" s="13">
        <f>SUMIFS('Лист2'!C:C, 'Лист2'!A:A, A682, 'Лист2'!B:B, B682)</f>
        <v>15</v>
      </c>
      <c r="F682" s="19">
        <v>706.0</v>
      </c>
      <c r="G682" s="19">
        <v>608.0</v>
      </c>
      <c r="H682" s="2">
        <f t="shared" si="1"/>
        <v>0</v>
      </c>
      <c r="I682" s="2">
        <f t="shared" si="2"/>
        <v>19</v>
      </c>
    </row>
    <row r="683" ht="14.25" customHeight="1">
      <c r="A683" s="18">
        <v>43961.0</v>
      </c>
      <c r="B683" s="13" t="s">
        <v>16</v>
      </c>
      <c r="C683" s="13"/>
      <c r="D683" s="13"/>
      <c r="E683" s="13">
        <f>SUMIFS('Лист2'!C:C, 'Лист2'!A:A, A683, 'Лист2'!B:B, B683)</f>
        <v>125</v>
      </c>
      <c r="F683" s="19">
        <v>20368.0</v>
      </c>
      <c r="G683" s="19">
        <v>18884.0</v>
      </c>
      <c r="H683" s="2">
        <f t="shared" si="1"/>
        <v>0</v>
      </c>
      <c r="I683" s="2">
        <f t="shared" si="2"/>
        <v>19</v>
      </c>
    </row>
    <row r="684" ht="14.25" customHeight="1">
      <c r="A684" s="18">
        <v>43961.0</v>
      </c>
      <c r="B684" s="13" t="s">
        <v>17</v>
      </c>
      <c r="C684" s="13"/>
      <c r="D684" s="13"/>
      <c r="E684" s="13">
        <f>SUMIFS('Лист2'!C:C, 'Лист2'!A:A, A684, 'Лист2'!B:B, B684)</f>
        <v>129</v>
      </c>
      <c r="F684" s="19">
        <v>16437.0</v>
      </c>
      <c r="G684" s="19">
        <v>15285.0</v>
      </c>
      <c r="H684" s="2">
        <f t="shared" si="1"/>
        <v>0</v>
      </c>
      <c r="I684" s="2">
        <f t="shared" si="2"/>
        <v>19</v>
      </c>
    </row>
    <row r="685" ht="14.25" customHeight="1">
      <c r="A685" s="18">
        <v>43961.0</v>
      </c>
      <c r="B685" s="13" t="s">
        <v>18</v>
      </c>
      <c r="C685" s="13"/>
      <c r="D685" s="13"/>
      <c r="E685" s="13">
        <f>SUMIFS('Лист2'!C:C, 'Лист2'!A:A, A685, 'Лист2'!B:B, B685)</f>
        <v>10</v>
      </c>
      <c r="F685" s="19">
        <v>642.0</v>
      </c>
      <c r="G685" s="19">
        <v>556.0</v>
      </c>
      <c r="H685" s="2">
        <f t="shared" si="1"/>
        <v>0</v>
      </c>
      <c r="I685" s="2">
        <f t="shared" si="2"/>
        <v>19</v>
      </c>
    </row>
    <row r="686" ht="14.25" customHeight="1">
      <c r="A686" s="18">
        <v>43962.0</v>
      </c>
      <c r="B686" s="13" t="s">
        <v>4</v>
      </c>
      <c r="C686" s="13"/>
      <c r="D686" s="13"/>
      <c r="E686" s="13">
        <f>SUMIFS('Лист2'!C:C, 'Лист2'!A:A, A686, 'Лист2'!B:B, B686)</f>
        <v>36</v>
      </c>
      <c r="F686" s="19">
        <v>4150.0</v>
      </c>
      <c r="G686" s="19">
        <v>3838.0</v>
      </c>
      <c r="H686" s="2">
        <f t="shared" si="1"/>
        <v>0</v>
      </c>
      <c r="I686" s="2">
        <f t="shared" si="2"/>
        <v>20</v>
      </c>
    </row>
    <row r="687" ht="14.25" customHeight="1">
      <c r="A687" s="18">
        <v>43962.0</v>
      </c>
      <c r="B687" s="13" t="s">
        <v>5</v>
      </c>
      <c r="C687" s="13"/>
      <c r="D687" s="13"/>
      <c r="E687" s="13">
        <f>SUMIFS('Лист2'!C:C, 'Лист2'!A:A, A687, 'Лист2'!B:B, B687)</f>
        <v>31</v>
      </c>
      <c r="F687" s="19">
        <v>4826.0</v>
      </c>
      <c r="G687" s="19">
        <v>4483.0</v>
      </c>
      <c r="H687" s="2">
        <f t="shared" si="1"/>
        <v>0</v>
      </c>
      <c r="I687" s="2">
        <f t="shared" si="2"/>
        <v>20</v>
      </c>
    </row>
    <row r="688" ht="14.25" customHeight="1">
      <c r="A688" s="18">
        <v>43962.0</v>
      </c>
      <c r="B688" s="13" t="s">
        <v>6</v>
      </c>
      <c r="C688" s="13"/>
      <c r="D688" s="13"/>
      <c r="E688" s="13">
        <f>SUMIFS('Лист2'!C:C, 'Лист2'!A:A, A688, 'Лист2'!B:B, B688)</f>
        <v>21</v>
      </c>
      <c r="F688" s="19">
        <v>1916.0</v>
      </c>
      <c r="G688" s="19">
        <v>1733.0</v>
      </c>
      <c r="H688" s="2">
        <f t="shared" si="1"/>
        <v>0</v>
      </c>
      <c r="I688" s="2">
        <f t="shared" si="2"/>
        <v>20</v>
      </c>
    </row>
    <row r="689" ht="14.25" customHeight="1">
      <c r="A689" s="18">
        <v>43962.0</v>
      </c>
      <c r="B689" s="13" t="s">
        <v>7</v>
      </c>
      <c r="C689" s="13"/>
      <c r="D689" s="13"/>
      <c r="E689" s="13">
        <f>SUMIFS('Лист2'!C:C, 'Лист2'!A:A, A689, 'Лист2'!B:B, B689)</f>
        <v>21</v>
      </c>
      <c r="F689" s="19">
        <v>1597.0</v>
      </c>
      <c r="G689" s="19">
        <v>1457.0</v>
      </c>
      <c r="H689" s="2">
        <f t="shared" si="1"/>
        <v>0</v>
      </c>
      <c r="I689" s="2">
        <f t="shared" si="2"/>
        <v>20</v>
      </c>
    </row>
    <row r="690" ht="14.25" customHeight="1">
      <c r="A690" s="18">
        <v>43962.0</v>
      </c>
      <c r="B690" s="13" t="s">
        <v>8</v>
      </c>
      <c r="C690" s="13"/>
      <c r="D690" s="13"/>
      <c r="E690" s="13">
        <f>SUMIFS('Лист2'!C:C, 'Лист2'!A:A, A690, 'Лист2'!B:B, B690)</f>
        <v>19</v>
      </c>
      <c r="F690" s="19">
        <v>1527.0</v>
      </c>
      <c r="G690" s="19">
        <v>1389.0</v>
      </c>
      <c r="H690" s="2">
        <f t="shared" si="1"/>
        <v>0</v>
      </c>
      <c r="I690" s="2">
        <f t="shared" si="2"/>
        <v>20</v>
      </c>
    </row>
    <row r="691" ht="14.25" customHeight="1">
      <c r="A691" s="18">
        <v>43962.0</v>
      </c>
      <c r="B691" s="13" t="s">
        <v>9</v>
      </c>
      <c r="C691" s="13"/>
      <c r="D691" s="13"/>
      <c r="E691" s="13">
        <f>SUMIFS('Лист2'!C:C, 'Лист2'!A:A, A691, 'Лист2'!B:B, B691)</f>
        <v>54</v>
      </c>
      <c r="F691" s="19">
        <v>10570.0</v>
      </c>
      <c r="G691" s="19">
        <v>9926.0</v>
      </c>
      <c r="H691" s="2">
        <f t="shared" si="1"/>
        <v>0</v>
      </c>
      <c r="I691" s="2">
        <f t="shared" si="2"/>
        <v>20</v>
      </c>
    </row>
    <row r="692" ht="14.25" customHeight="1">
      <c r="A692" s="18">
        <v>43962.0</v>
      </c>
      <c r="B692" s="13" t="s">
        <v>10</v>
      </c>
      <c r="C692" s="13"/>
      <c r="D692" s="13"/>
      <c r="E692" s="13">
        <f>SUMIFS('Лист2'!C:C, 'Лист2'!A:A, A692, 'Лист2'!B:B, B692)</f>
        <v>60</v>
      </c>
      <c r="F692" s="19">
        <v>11100.0</v>
      </c>
      <c r="G692" s="19">
        <v>10407.0</v>
      </c>
      <c r="H692" s="2">
        <f t="shared" si="1"/>
        <v>0</v>
      </c>
      <c r="I692" s="2">
        <f t="shared" si="2"/>
        <v>20</v>
      </c>
    </row>
    <row r="693" ht="14.25" customHeight="1">
      <c r="A693" s="18">
        <v>43962.0</v>
      </c>
      <c r="B693" s="13" t="s">
        <v>11</v>
      </c>
      <c r="C693" s="13"/>
      <c r="D693" s="13"/>
      <c r="E693" s="13">
        <f>SUMIFS('Лист2'!C:C, 'Лист2'!A:A, A693, 'Лист2'!B:B, B693)</f>
        <v>19</v>
      </c>
      <c r="F693" s="19">
        <v>2530.0</v>
      </c>
      <c r="G693" s="19">
        <v>2270.0</v>
      </c>
      <c r="H693" s="2">
        <f t="shared" si="1"/>
        <v>0</v>
      </c>
      <c r="I693" s="2">
        <f t="shared" si="2"/>
        <v>20</v>
      </c>
    </row>
    <row r="694" ht="14.25" customHeight="1">
      <c r="A694" s="18">
        <v>43962.0</v>
      </c>
      <c r="B694" s="13" t="s">
        <v>12</v>
      </c>
      <c r="C694" s="13"/>
      <c r="D694" s="13"/>
      <c r="E694" s="13">
        <f>SUMIFS('Лист2'!C:C, 'Лист2'!A:A, A694, 'Лист2'!B:B, B694)</f>
        <v>15</v>
      </c>
      <c r="F694" s="19">
        <v>654.0</v>
      </c>
      <c r="G694" s="19">
        <v>564.0</v>
      </c>
      <c r="H694" s="2">
        <f t="shared" si="1"/>
        <v>0</v>
      </c>
      <c r="I694" s="2">
        <f t="shared" si="2"/>
        <v>20</v>
      </c>
    </row>
    <row r="695" ht="14.25" customHeight="1">
      <c r="A695" s="18">
        <v>43962.0</v>
      </c>
      <c r="B695" s="13" t="s">
        <v>13</v>
      </c>
      <c r="C695" s="13"/>
      <c r="D695" s="13"/>
      <c r="E695" s="13">
        <f>SUMIFS('Лист2'!C:C, 'Лист2'!A:A, A695, 'Лист2'!B:B, B695)</f>
        <v>15</v>
      </c>
      <c r="F695" s="19">
        <v>812.0</v>
      </c>
      <c r="G695" s="19">
        <v>714.0</v>
      </c>
      <c r="H695" s="2">
        <f t="shared" si="1"/>
        <v>0</v>
      </c>
      <c r="I695" s="2">
        <f t="shared" si="2"/>
        <v>20</v>
      </c>
    </row>
    <row r="696" ht="14.25" customHeight="1">
      <c r="A696" s="18">
        <v>43962.0</v>
      </c>
      <c r="B696" s="13" t="s">
        <v>14</v>
      </c>
      <c r="C696" s="13"/>
      <c r="D696" s="13"/>
      <c r="E696" s="13">
        <f>SUMIFS('Лист2'!C:C, 'Лист2'!A:A, A696, 'Лист2'!B:B, B696)</f>
        <v>15</v>
      </c>
      <c r="F696" s="19">
        <v>684.0</v>
      </c>
      <c r="G696" s="19">
        <v>585.0</v>
      </c>
      <c r="H696" s="2">
        <f t="shared" si="1"/>
        <v>0</v>
      </c>
      <c r="I696" s="2">
        <f t="shared" si="2"/>
        <v>20</v>
      </c>
    </row>
    <row r="697" ht="14.25" customHeight="1">
      <c r="A697" s="18">
        <v>43962.0</v>
      </c>
      <c r="B697" s="13" t="s">
        <v>16</v>
      </c>
      <c r="C697" s="13"/>
      <c r="D697" s="13"/>
      <c r="E697" s="13">
        <f>SUMIFS('Лист2'!C:C, 'Лист2'!A:A, A697, 'Лист2'!B:B, B697)</f>
        <v>125</v>
      </c>
      <c r="F697" s="19">
        <v>18066.0</v>
      </c>
      <c r="G697" s="19">
        <v>16883.0</v>
      </c>
      <c r="H697" s="2">
        <f t="shared" si="1"/>
        <v>0</v>
      </c>
      <c r="I697" s="2">
        <f t="shared" si="2"/>
        <v>20</v>
      </c>
    </row>
    <row r="698" ht="14.25" customHeight="1">
      <c r="A698" s="18">
        <v>43962.0</v>
      </c>
      <c r="B698" s="13" t="s">
        <v>17</v>
      </c>
      <c r="C698" s="13"/>
      <c r="D698" s="13"/>
      <c r="E698" s="13">
        <f>SUMIFS('Лист2'!C:C, 'Лист2'!A:A, A698, 'Лист2'!B:B, B698)</f>
        <v>129</v>
      </c>
      <c r="F698" s="19">
        <v>14043.0</v>
      </c>
      <c r="G698" s="19">
        <v>13167.0</v>
      </c>
      <c r="H698" s="2">
        <f t="shared" si="1"/>
        <v>0</v>
      </c>
      <c r="I698" s="2">
        <f t="shared" si="2"/>
        <v>20</v>
      </c>
    </row>
    <row r="699" ht="14.25" customHeight="1">
      <c r="A699" s="18">
        <v>43962.0</v>
      </c>
      <c r="B699" s="13" t="s">
        <v>18</v>
      </c>
      <c r="C699" s="13"/>
      <c r="D699" s="13"/>
      <c r="E699" s="13">
        <f>SUMIFS('Лист2'!C:C, 'Лист2'!A:A, A699, 'Лист2'!B:B, B699)</f>
        <v>10</v>
      </c>
      <c r="F699" s="19">
        <v>494.0</v>
      </c>
      <c r="G699" s="19">
        <v>421.0</v>
      </c>
      <c r="H699" s="2">
        <f t="shared" si="1"/>
        <v>0</v>
      </c>
      <c r="I699" s="2">
        <f t="shared" si="2"/>
        <v>20</v>
      </c>
    </row>
    <row r="700" ht="14.25" customHeight="1">
      <c r="A700" s="18">
        <v>43963.0</v>
      </c>
      <c r="B700" s="13" t="s">
        <v>4</v>
      </c>
      <c r="C700" s="13"/>
      <c r="D700" s="13"/>
      <c r="E700" s="13">
        <f>SUMIFS('Лист2'!C:C, 'Лист2'!A:A, A700, 'Лист2'!B:B, B700)</f>
        <v>36</v>
      </c>
      <c r="F700" s="19">
        <v>4418.0</v>
      </c>
      <c r="G700" s="19">
        <v>4088.0</v>
      </c>
      <c r="H700" s="2">
        <f t="shared" si="1"/>
        <v>0</v>
      </c>
      <c r="I700" s="2">
        <f t="shared" si="2"/>
        <v>20</v>
      </c>
    </row>
    <row r="701" ht="14.25" customHeight="1">
      <c r="A701" s="18">
        <v>43963.0</v>
      </c>
      <c r="B701" s="13" t="s">
        <v>5</v>
      </c>
      <c r="C701" s="13"/>
      <c r="D701" s="13"/>
      <c r="E701" s="13">
        <f>SUMIFS('Лист2'!C:C, 'Лист2'!A:A, A701, 'Лист2'!B:B, B701)</f>
        <v>31</v>
      </c>
      <c r="F701" s="19">
        <v>4800.0</v>
      </c>
      <c r="G701" s="19">
        <v>4470.0</v>
      </c>
      <c r="H701" s="2">
        <f t="shared" si="1"/>
        <v>0</v>
      </c>
      <c r="I701" s="2">
        <f t="shared" si="2"/>
        <v>20</v>
      </c>
    </row>
    <row r="702" ht="14.25" customHeight="1">
      <c r="A702" s="18">
        <v>43963.0</v>
      </c>
      <c r="B702" s="13" t="s">
        <v>6</v>
      </c>
      <c r="C702" s="13"/>
      <c r="D702" s="13"/>
      <c r="E702" s="13">
        <f>SUMIFS('Лист2'!C:C, 'Лист2'!A:A, A702, 'Лист2'!B:B, B702)</f>
        <v>21</v>
      </c>
      <c r="F702" s="19">
        <v>1926.0</v>
      </c>
      <c r="G702" s="19">
        <v>1745.0</v>
      </c>
      <c r="H702" s="2">
        <f t="shared" si="1"/>
        <v>0</v>
      </c>
      <c r="I702" s="2">
        <f t="shared" si="2"/>
        <v>20</v>
      </c>
    </row>
    <row r="703" ht="14.25" customHeight="1">
      <c r="A703" s="18">
        <v>43963.0</v>
      </c>
      <c r="B703" s="13" t="s">
        <v>7</v>
      </c>
      <c r="C703" s="13"/>
      <c r="D703" s="13"/>
      <c r="E703" s="13">
        <f>SUMIFS('Лист2'!C:C, 'Лист2'!A:A, A703, 'Лист2'!B:B, B703)</f>
        <v>21</v>
      </c>
      <c r="F703" s="19">
        <v>1656.0</v>
      </c>
      <c r="G703" s="19">
        <v>1516.0</v>
      </c>
      <c r="H703" s="2">
        <f t="shared" si="1"/>
        <v>0</v>
      </c>
      <c r="I703" s="2">
        <f t="shared" si="2"/>
        <v>20</v>
      </c>
    </row>
    <row r="704" ht="14.25" customHeight="1">
      <c r="A704" s="18">
        <v>43963.0</v>
      </c>
      <c r="B704" s="13" t="s">
        <v>8</v>
      </c>
      <c r="C704" s="13"/>
      <c r="D704" s="13"/>
      <c r="E704" s="13">
        <f>SUMIFS('Лист2'!C:C, 'Лист2'!A:A, A704, 'Лист2'!B:B, B704)</f>
        <v>19</v>
      </c>
      <c r="F704" s="19">
        <v>1598.0</v>
      </c>
      <c r="G704" s="19">
        <v>1454.0</v>
      </c>
      <c r="H704" s="2">
        <f t="shared" si="1"/>
        <v>0</v>
      </c>
      <c r="I704" s="2">
        <f t="shared" si="2"/>
        <v>20</v>
      </c>
    </row>
    <row r="705" ht="14.25" customHeight="1">
      <c r="A705" s="18">
        <v>43963.0</v>
      </c>
      <c r="B705" s="13" t="s">
        <v>9</v>
      </c>
      <c r="C705" s="13"/>
      <c r="D705" s="13"/>
      <c r="E705" s="13">
        <f>SUMIFS('Лист2'!C:C, 'Лист2'!A:A, A705, 'Лист2'!B:B, B705)</f>
        <v>54</v>
      </c>
      <c r="F705" s="19">
        <v>11614.0</v>
      </c>
      <c r="G705" s="19">
        <v>10862.0</v>
      </c>
      <c r="H705" s="2">
        <f t="shared" si="1"/>
        <v>0</v>
      </c>
      <c r="I705" s="2">
        <f t="shared" si="2"/>
        <v>20</v>
      </c>
    </row>
    <row r="706" ht="14.25" customHeight="1">
      <c r="A706" s="18">
        <v>43963.0</v>
      </c>
      <c r="B706" s="13" t="s">
        <v>10</v>
      </c>
      <c r="C706" s="13"/>
      <c r="D706" s="13"/>
      <c r="E706" s="13">
        <f>SUMIFS('Лист2'!C:C, 'Лист2'!A:A, A706, 'Лист2'!B:B, B706)</f>
        <v>60</v>
      </c>
      <c r="F706" s="19">
        <v>12000.0</v>
      </c>
      <c r="G706" s="19">
        <v>11194.0</v>
      </c>
      <c r="H706" s="2">
        <f t="shared" si="1"/>
        <v>0</v>
      </c>
      <c r="I706" s="2">
        <f t="shared" si="2"/>
        <v>20</v>
      </c>
    </row>
    <row r="707" ht="14.25" customHeight="1">
      <c r="A707" s="18">
        <v>43963.0</v>
      </c>
      <c r="B707" s="13" t="s">
        <v>11</v>
      </c>
      <c r="C707" s="13"/>
      <c r="D707" s="13"/>
      <c r="E707" s="13">
        <f>SUMIFS('Лист2'!C:C, 'Лист2'!A:A, A707, 'Лист2'!B:B, B707)</f>
        <v>19</v>
      </c>
      <c r="F707" s="19">
        <v>1649.0</v>
      </c>
      <c r="G707" s="19">
        <v>1460.0</v>
      </c>
      <c r="H707" s="2">
        <f t="shared" si="1"/>
        <v>0</v>
      </c>
      <c r="I707" s="2">
        <f t="shared" si="2"/>
        <v>20</v>
      </c>
    </row>
    <row r="708" ht="14.25" customHeight="1">
      <c r="A708" s="18">
        <v>43963.0</v>
      </c>
      <c r="B708" s="13" t="s">
        <v>12</v>
      </c>
      <c r="C708" s="13"/>
      <c r="D708" s="13"/>
      <c r="E708" s="13">
        <f>SUMIFS('Лист2'!C:C, 'Лист2'!A:A, A708, 'Лист2'!B:B, B708)</f>
        <v>15</v>
      </c>
      <c r="F708" s="19">
        <v>750.0</v>
      </c>
      <c r="G708" s="19">
        <v>659.0</v>
      </c>
      <c r="H708" s="2">
        <f t="shared" si="1"/>
        <v>0</v>
      </c>
      <c r="I708" s="2">
        <f t="shared" si="2"/>
        <v>20</v>
      </c>
    </row>
    <row r="709" ht="14.25" customHeight="1">
      <c r="A709" s="18">
        <v>43963.0</v>
      </c>
      <c r="B709" s="13" t="s">
        <v>13</v>
      </c>
      <c r="C709" s="13"/>
      <c r="D709" s="13"/>
      <c r="E709" s="13">
        <f>SUMIFS('Лист2'!C:C, 'Лист2'!A:A, A709, 'Лист2'!B:B, B709)</f>
        <v>15</v>
      </c>
      <c r="F709" s="19">
        <v>845.0</v>
      </c>
      <c r="G709" s="19">
        <v>743.0</v>
      </c>
      <c r="H709" s="2">
        <f t="shared" si="1"/>
        <v>0</v>
      </c>
      <c r="I709" s="2">
        <f t="shared" si="2"/>
        <v>20</v>
      </c>
    </row>
    <row r="710" ht="14.25" customHeight="1">
      <c r="A710" s="18">
        <v>43963.0</v>
      </c>
      <c r="B710" s="13" t="s">
        <v>14</v>
      </c>
      <c r="C710" s="13"/>
      <c r="D710" s="13"/>
      <c r="E710" s="13">
        <f>SUMIFS('Лист2'!C:C, 'Лист2'!A:A, A710, 'Лист2'!B:B, B710)</f>
        <v>15</v>
      </c>
      <c r="F710" s="19">
        <v>624.0</v>
      </c>
      <c r="G710" s="19">
        <v>538.0</v>
      </c>
      <c r="H710" s="2">
        <f t="shared" si="1"/>
        <v>0</v>
      </c>
      <c r="I710" s="2">
        <f t="shared" si="2"/>
        <v>20</v>
      </c>
    </row>
    <row r="711" ht="14.25" customHeight="1">
      <c r="A711" s="18">
        <v>43963.0</v>
      </c>
      <c r="B711" s="13" t="s">
        <v>16</v>
      </c>
      <c r="C711" s="13"/>
      <c r="D711" s="13"/>
      <c r="E711" s="13">
        <f>SUMIFS('Лист2'!C:C, 'Лист2'!A:A, A711, 'Лист2'!B:B, B711)</f>
        <v>125</v>
      </c>
      <c r="F711" s="19">
        <v>21106.0</v>
      </c>
      <c r="G711" s="19">
        <v>19651.0</v>
      </c>
      <c r="H711" s="2">
        <f t="shared" si="1"/>
        <v>0</v>
      </c>
      <c r="I711" s="2">
        <f t="shared" si="2"/>
        <v>20</v>
      </c>
    </row>
    <row r="712" ht="14.25" customHeight="1">
      <c r="A712" s="18">
        <v>43963.0</v>
      </c>
      <c r="B712" s="13" t="s">
        <v>17</v>
      </c>
      <c r="C712" s="13"/>
      <c r="D712" s="13"/>
      <c r="E712" s="13">
        <f>SUMIFS('Лист2'!C:C, 'Лист2'!A:A, A712, 'Лист2'!B:B, B712)</f>
        <v>129</v>
      </c>
      <c r="F712" s="19">
        <v>16387.0</v>
      </c>
      <c r="G712" s="19">
        <v>15322.0</v>
      </c>
      <c r="H712" s="2">
        <f t="shared" si="1"/>
        <v>0</v>
      </c>
      <c r="I712" s="2">
        <f t="shared" si="2"/>
        <v>20</v>
      </c>
    </row>
    <row r="713" ht="14.25" customHeight="1">
      <c r="A713" s="18">
        <v>43963.0</v>
      </c>
      <c r="B713" s="13" t="s">
        <v>18</v>
      </c>
      <c r="C713" s="13"/>
      <c r="D713" s="13"/>
      <c r="E713" s="13">
        <f>SUMIFS('Лист2'!C:C, 'Лист2'!A:A, A713, 'Лист2'!B:B, B713)</f>
        <v>10</v>
      </c>
      <c r="F713" s="19">
        <v>526.0</v>
      </c>
      <c r="G713" s="19">
        <v>448.0</v>
      </c>
      <c r="H713" s="2">
        <f t="shared" si="1"/>
        <v>0</v>
      </c>
      <c r="I713" s="2">
        <f t="shared" si="2"/>
        <v>20</v>
      </c>
    </row>
    <row r="714" ht="14.25" customHeight="1">
      <c r="A714" s="18">
        <v>43964.0</v>
      </c>
      <c r="B714" s="13" t="s">
        <v>4</v>
      </c>
      <c r="C714" s="13"/>
      <c r="D714" s="13"/>
      <c r="E714" s="13">
        <f>SUMIFS('Лист2'!C:C, 'Лист2'!A:A, A714, 'Лист2'!B:B, B714)</f>
        <v>36</v>
      </c>
      <c r="F714" s="19">
        <v>4967.0</v>
      </c>
      <c r="G714" s="19">
        <v>4583.0</v>
      </c>
      <c r="H714" s="2">
        <f t="shared" si="1"/>
        <v>0</v>
      </c>
      <c r="I714" s="2">
        <f t="shared" si="2"/>
        <v>20</v>
      </c>
    </row>
    <row r="715" ht="14.25" customHeight="1">
      <c r="A715" s="18">
        <v>43964.0</v>
      </c>
      <c r="B715" s="13" t="s">
        <v>5</v>
      </c>
      <c r="C715" s="13"/>
      <c r="D715" s="13"/>
      <c r="E715" s="13">
        <f>SUMIFS('Лист2'!C:C, 'Лист2'!A:A, A715, 'Лист2'!B:B, B715)</f>
        <v>31</v>
      </c>
      <c r="F715" s="19">
        <v>5251.0</v>
      </c>
      <c r="G715" s="19">
        <v>4853.0</v>
      </c>
      <c r="H715" s="2">
        <f t="shared" si="1"/>
        <v>0</v>
      </c>
      <c r="I715" s="2">
        <f t="shared" si="2"/>
        <v>20</v>
      </c>
    </row>
    <row r="716" ht="14.25" customHeight="1">
      <c r="A716" s="18">
        <v>43964.0</v>
      </c>
      <c r="B716" s="13" t="s">
        <v>6</v>
      </c>
      <c r="C716" s="13"/>
      <c r="D716" s="13"/>
      <c r="E716" s="13">
        <f>SUMIFS('Лист2'!C:C, 'Лист2'!A:A, A716, 'Лист2'!B:B, B716)</f>
        <v>21</v>
      </c>
      <c r="F716" s="19">
        <v>2061.0</v>
      </c>
      <c r="G716" s="19">
        <v>1876.0</v>
      </c>
      <c r="H716" s="2">
        <f t="shared" si="1"/>
        <v>0</v>
      </c>
      <c r="I716" s="2">
        <f t="shared" si="2"/>
        <v>20</v>
      </c>
    </row>
    <row r="717" ht="14.25" customHeight="1">
      <c r="A717" s="18">
        <v>43964.0</v>
      </c>
      <c r="B717" s="13" t="s">
        <v>7</v>
      </c>
      <c r="C717" s="13"/>
      <c r="D717" s="13"/>
      <c r="E717" s="13">
        <f>SUMIFS('Лист2'!C:C, 'Лист2'!A:A, A717, 'Лист2'!B:B, B717)</f>
        <v>21</v>
      </c>
      <c r="F717" s="19">
        <v>1698.0</v>
      </c>
      <c r="G717" s="19">
        <v>1554.0</v>
      </c>
      <c r="H717" s="2">
        <f t="shared" si="1"/>
        <v>0</v>
      </c>
      <c r="I717" s="2">
        <f t="shared" si="2"/>
        <v>20</v>
      </c>
    </row>
    <row r="718" ht="14.25" customHeight="1">
      <c r="A718" s="18">
        <v>43964.0</v>
      </c>
      <c r="B718" s="13" t="s">
        <v>8</v>
      </c>
      <c r="C718" s="13"/>
      <c r="D718" s="13"/>
      <c r="E718" s="13">
        <f>SUMIFS('Лист2'!C:C, 'Лист2'!A:A, A718, 'Лист2'!B:B, B718)</f>
        <v>19</v>
      </c>
      <c r="F718" s="19">
        <v>1605.0</v>
      </c>
      <c r="G718" s="19">
        <v>1447.0</v>
      </c>
      <c r="H718" s="2">
        <f t="shared" si="1"/>
        <v>0</v>
      </c>
      <c r="I718" s="2">
        <f t="shared" si="2"/>
        <v>20</v>
      </c>
    </row>
    <row r="719" ht="14.25" customHeight="1">
      <c r="A719" s="18">
        <v>43964.0</v>
      </c>
      <c r="B719" s="13" t="s">
        <v>9</v>
      </c>
      <c r="C719" s="13"/>
      <c r="D719" s="13"/>
      <c r="E719" s="13">
        <f>SUMIFS('Лист2'!C:C, 'Лист2'!A:A, A719, 'Лист2'!B:B, B719)</f>
        <v>54</v>
      </c>
      <c r="F719" s="19">
        <v>11522.0</v>
      </c>
      <c r="G719" s="19">
        <v>10803.0</v>
      </c>
      <c r="H719" s="2">
        <f t="shared" si="1"/>
        <v>0</v>
      </c>
      <c r="I719" s="2">
        <f t="shared" si="2"/>
        <v>20</v>
      </c>
    </row>
    <row r="720" ht="14.25" customHeight="1">
      <c r="A720" s="18">
        <v>43964.0</v>
      </c>
      <c r="B720" s="13" t="s">
        <v>10</v>
      </c>
      <c r="C720" s="13"/>
      <c r="D720" s="13"/>
      <c r="E720" s="13">
        <f>SUMIFS('Лист2'!C:C, 'Лист2'!A:A, A720, 'Лист2'!B:B, B720)</f>
        <v>60</v>
      </c>
      <c r="F720" s="19">
        <v>12007.0</v>
      </c>
      <c r="G720" s="19">
        <v>11245.0</v>
      </c>
      <c r="H720" s="2">
        <f t="shared" si="1"/>
        <v>0</v>
      </c>
      <c r="I720" s="2">
        <f t="shared" si="2"/>
        <v>20</v>
      </c>
    </row>
    <row r="721" ht="14.25" customHeight="1">
      <c r="A721" s="18">
        <v>43964.0</v>
      </c>
      <c r="B721" s="13" t="s">
        <v>11</v>
      </c>
      <c r="C721" s="13"/>
      <c r="D721" s="13"/>
      <c r="E721" s="13">
        <f>SUMIFS('Лист2'!C:C, 'Лист2'!A:A, A721, 'Лист2'!B:B, B721)</f>
        <v>19</v>
      </c>
      <c r="F721" s="19">
        <v>1625.0</v>
      </c>
      <c r="G721" s="19">
        <v>1444.0</v>
      </c>
      <c r="H721" s="2">
        <f t="shared" si="1"/>
        <v>0</v>
      </c>
      <c r="I721" s="2">
        <f t="shared" si="2"/>
        <v>20</v>
      </c>
    </row>
    <row r="722" ht="14.25" customHeight="1">
      <c r="A722" s="18">
        <v>43964.0</v>
      </c>
      <c r="B722" s="13" t="s">
        <v>12</v>
      </c>
      <c r="C722" s="13"/>
      <c r="D722" s="13"/>
      <c r="E722" s="13">
        <f>SUMIFS('Лист2'!C:C, 'Лист2'!A:A, A722, 'Лист2'!B:B, B722)</f>
        <v>15</v>
      </c>
      <c r="F722" s="19">
        <v>854.0</v>
      </c>
      <c r="G722" s="19">
        <v>756.0</v>
      </c>
      <c r="H722" s="2">
        <f t="shared" si="1"/>
        <v>0</v>
      </c>
      <c r="I722" s="2">
        <f t="shared" si="2"/>
        <v>20</v>
      </c>
    </row>
    <row r="723" ht="14.25" customHeight="1">
      <c r="A723" s="18">
        <v>43964.0</v>
      </c>
      <c r="B723" s="13" t="s">
        <v>13</v>
      </c>
      <c r="C723" s="13"/>
      <c r="D723" s="13"/>
      <c r="E723" s="13">
        <f>SUMIFS('Лист2'!C:C, 'Лист2'!A:A, A723, 'Лист2'!B:B, B723)</f>
        <v>15</v>
      </c>
      <c r="F723" s="19">
        <v>898.0</v>
      </c>
      <c r="G723" s="19">
        <v>795.0</v>
      </c>
      <c r="H723" s="2">
        <f t="shared" si="1"/>
        <v>0</v>
      </c>
      <c r="I723" s="2">
        <f t="shared" si="2"/>
        <v>20</v>
      </c>
    </row>
    <row r="724" ht="14.25" customHeight="1">
      <c r="A724" s="18">
        <v>43964.0</v>
      </c>
      <c r="B724" s="13" t="s">
        <v>14</v>
      </c>
      <c r="C724" s="13"/>
      <c r="D724" s="13"/>
      <c r="E724" s="13">
        <f>SUMIFS('Лист2'!C:C, 'Лист2'!A:A, A724, 'Лист2'!B:B, B724)</f>
        <v>15</v>
      </c>
      <c r="F724" s="19">
        <v>599.0</v>
      </c>
      <c r="G724" s="19">
        <v>515.0</v>
      </c>
      <c r="H724" s="2">
        <f t="shared" si="1"/>
        <v>0</v>
      </c>
      <c r="I724" s="2">
        <f t="shared" si="2"/>
        <v>20</v>
      </c>
    </row>
    <row r="725" ht="14.25" customHeight="1">
      <c r="A725" s="18">
        <v>43964.0</v>
      </c>
      <c r="B725" s="13" t="s">
        <v>16</v>
      </c>
      <c r="C725" s="13"/>
      <c r="D725" s="13"/>
      <c r="E725" s="13">
        <f>SUMIFS('Лист2'!C:C, 'Лист2'!A:A, A725, 'Лист2'!B:B, B725)</f>
        <v>125</v>
      </c>
      <c r="F725" s="19">
        <v>19965.0</v>
      </c>
      <c r="G725" s="19">
        <v>18573.0</v>
      </c>
      <c r="H725" s="2">
        <f t="shared" si="1"/>
        <v>0</v>
      </c>
      <c r="I725" s="2">
        <f t="shared" si="2"/>
        <v>20</v>
      </c>
    </row>
    <row r="726" ht="14.25" customHeight="1">
      <c r="A726" s="18">
        <v>43964.0</v>
      </c>
      <c r="B726" s="13" t="s">
        <v>17</v>
      </c>
      <c r="C726" s="13"/>
      <c r="D726" s="13"/>
      <c r="E726" s="13">
        <f>SUMIFS('Лист2'!C:C, 'Лист2'!A:A, A726, 'Лист2'!B:B, B726)</f>
        <v>129</v>
      </c>
      <c r="F726" s="19">
        <v>15304.0</v>
      </c>
      <c r="G726" s="19">
        <v>14315.0</v>
      </c>
      <c r="H726" s="2">
        <f t="shared" si="1"/>
        <v>0</v>
      </c>
      <c r="I726" s="2">
        <f t="shared" si="2"/>
        <v>20</v>
      </c>
    </row>
    <row r="727" ht="14.25" customHeight="1">
      <c r="A727" s="18">
        <v>43964.0</v>
      </c>
      <c r="B727" s="13" t="s">
        <v>18</v>
      </c>
      <c r="C727" s="13"/>
      <c r="D727" s="13"/>
      <c r="E727" s="13">
        <f>SUMIFS('Лист2'!C:C, 'Лист2'!A:A, A727, 'Лист2'!B:B, B727)</f>
        <v>10</v>
      </c>
      <c r="F727" s="19">
        <v>612.0</v>
      </c>
      <c r="G727" s="19">
        <v>530.0</v>
      </c>
      <c r="H727" s="2">
        <f t="shared" si="1"/>
        <v>0</v>
      </c>
      <c r="I727" s="2">
        <f t="shared" si="2"/>
        <v>20</v>
      </c>
    </row>
    <row r="728" ht="14.25" customHeight="1">
      <c r="A728" s="18">
        <v>43965.0</v>
      </c>
      <c r="B728" s="13" t="s">
        <v>4</v>
      </c>
      <c r="C728" s="13"/>
      <c r="D728" s="13"/>
      <c r="E728" s="13">
        <f>SUMIFS('Лист2'!C:C, 'Лист2'!A:A, A728, 'Лист2'!B:B, B728)</f>
        <v>36</v>
      </c>
      <c r="F728" s="19">
        <v>4285.0</v>
      </c>
      <c r="G728" s="19">
        <v>3950.0</v>
      </c>
      <c r="H728" s="2">
        <f t="shared" si="1"/>
        <v>0</v>
      </c>
      <c r="I728" s="2">
        <f t="shared" si="2"/>
        <v>20</v>
      </c>
    </row>
    <row r="729" ht="14.25" customHeight="1">
      <c r="A729" s="18">
        <v>43965.0</v>
      </c>
      <c r="B729" s="13" t="s">
        <v>5</v>
      </c>
      <c r="C729" s="13"/>
      <c r="D729" s="13"/>
      <c r="E729" s="13">
        <f>SUMIFS('Лист2'!C:C, 'Лист2'!A:A, A729, 'Лист2'!B:B, B729)</f>
        <v>31</v>
      </c>
      <c r="F729" s="19">
        <v>4695.0</v>
      </c>
      <c r="G729" s="19">
        <v>4372.0</v>
      </c>
      <c r="H729" s="2">
        <f t="shared" si="1"/>
        <v>0</v>
      </c>
      <c r="I729" s="2">
        <f t="shared" si="2"/>
        <v>20</v>
      </c>
    </row>
    <row r="730" ht="14.25" customHeight="1">
      <c r="A730" s="18">
        <v>43965.0</v>
      </c>
      <c r="B730" s="13" t="s">
        <v>6</v>
      </c>
      <c r="C730" s="13"/>
      <c r="D730" s="13"/>
      <c r="E730" s="13">
        <f>SUMIFS('Лист2'!C:C, 'Лист2'!A:A, A730, 'Лист2'!B:B, B730)</f>
        <v>21</v>
      </c>
      <c r="F730" s="19">
        <v>1993.0</v>
      </c>
      <c r="G730" s="19">
        <v>1796.0</v>
      </c>
      <c r="H730" s="2">
        <f t="shared" si="1"/>
        <v>0</v>
      </c>
      <c r="I730" s="2">
        <f t="shared" si="2"/>
        <v>20</v>
      </c>
    </row>
    <row r="731" ht="14.25" customHeight="1">
      <c r="A731" s="18">
        <v>43965.0</v>
      </c>
      <c r="B731" s="13" t="s">
        <v>7</v>
      </c>
      <c r="C731" s="13"/>
      <c r="D731" s="13"/>
      <c r="E731" s="13">
        <f>SUMIFS('Лист2'!C:C, 'Лист2'!A:A, A731, 'Лист2'!B:B, B731)</f>
        <v>21</v>
      </c>
      <c r="F731" s="19">
        <v>1706.0</v>
      </c>
      <c r="G731" s="19">
        <v>1548.0</v>
      </c>
      <c r="H731" s="2">
        <f t="shared" si="1"/>
        <v>0</v>
      </c>
      <c r="I731" s="2">
        <f t="shared" si="2"/>
        <v>20</v>
      </c>
    </row>
    <row r="732" ht="14.25" customHeight="1">
      <c r="A732" s="18">
        <v>43965.0</v>
      </c>
      <c r="B732" s="13" t="s">
        <v>8</v>
      </c>
      <c r="C732" s="13"/>
      <c r="D732" s="13"/>
      <c r="E732" s="13">
        <f>SUMIFS('Лист2'!C:C, 'Лист2'!A:A, A732, 'Лист2'!B:B, B732)</f>
        <v>19</v>
      </c>
      <c r="F732" s="19">
        <v>1635.0</v>
      </c>
      <c r="G732" s="19">
        <v>1487.0</v>
      </c>
      <c r="H732" s="2">
        <f t="shared" si="1"/>
        <v>0</v>
      </c>
      <c r="I732" s="2">
        <f t="shared" si="2"/>
        <v>20</v>
      </c>
    </row>
    <row r="733" ht="14.25" customHeight="1">
      <c r="A733" s="18">
        <v>43965.0</v>
      </c>
      <c r="B733" s="13" t="s">
        <v>9</v>
      </c>
      <c r="C733" s="13"/>
      <c r="D733" s="13"/>
      <c r="E733" s="13">
        <f>SUMIFS('Лист2'!C:C, 'Лист2'!A:A, A733, 'Лист2'!B:B, B733)</f>
        <v>54</v>
      </c>
      <c r="F733" s="19">
        <v>11194.0</v>
      </c>
      <c r="G733" s="19">
        <v>10554.0</v>
      </c>
      <c r="H733" s="2">
        <f t="shared" si="1"/>
        <v>0</v>
      </c>
      <c r="I733" s="2">
        <f t="shared" si="2"/>
        <v>20</v>
      </c>
    </row>
    <row r="734" ht="14.25" customHeight="1">
      <c r="A734" s="18">
        <v>43965.0</v>
      </c>
      <c r="B734" s="13" t="s">
        <v>10</v>
      </c>
      <c r="C734" s="13"/>
      <c r="D734" s="13"/>
      <c r="E734" s="13">
        <f>SUMIFS('Лист2'!C:C, 'Лист2'!A:A, A734, 'Лист2'!B:B, B734)</f>
        <v>60</v>
      </c>
      <c r="F734" s="19">
        <v>11935.0</v>
      </c>
      <c r="G734" s="19">
        <v>11178.0</v>
      </c>
      <c r="H734" s="2">
        <f t="shared" si="1"/>
        <v>0</v>
      </c>
      <c r="I734" s="2">
        <f t="shared" si="2"/>
        <v>20</v>
      </c>
    </row>
    <row r="735" ht="14.25" customHeight="1">
      <c r="A735" s="18">
        <v>43965.0</v>
      </c>
      <c r="B735" s="13" t="s">
        <v>11</v>
      </c>
      <c r="C735" s="13"/>
      <c r="D735" s="13"/>
      <c r="E735" s="13">
        <f>SUMIFS('Лист2'!C:C, 'Лист2'!A:A, A735, 'Лист2'!B:B, B735)</f>
        <v>19</v>
      </c>
      <c r="F735" s="19">
        <v>1675.0</v>
      </c>
      <c r="G735" s="19">
        <v>1475.0</v>
      </c>
      <c r="H735" s="2">
        <f t="shared" si="1"/>
        <v>0</v>
      </c>
      <c r="I735" s="2">
        <f t="shared" si="2"/>
        <v>20</v>
      </c>
    </row>
    <row r="736" ht="14.25" customHeight="1">
      <c r="A736" s="18">
        <v>43965.0</v>
      </c>
      <c r="B736" s="13" t="s">
        <v>12</v>
      </c>
      <c r="C736" s="13"/>
      <c r="D736" s="13"/>
      <c r="E736" s="13">
        <f>SUMIFS('Лист2'!C:C, 'Лист2'!A:A, A736, 'Лист2'!B:B, B736)</f>
        <v>16</v>
      </c>
      <c r="F736" s="19">
        <v>834.0</v>
      </c>
      <c r="G736" s="19">
        <v>735.0</v>
      </c>
      <c r="H736" s="2">
        <f t="shared" si="1"/>
        <v>0</v>
      </c>
      <c r="I736" s="2">
        <f t="shared" si="2"/>
        <v>20</v>
      </c>
    </row>
    <row r="737" ht="14.25" customHeight="1">
      <c r="A737" s="18">
        <v>43965.0</v>
      </c>
      <c r="B737" s="13" t="s">
        <v>13</v>
      </c>
      <c r="C737" s="13"/>
      <c r="D737" s="13"/>
      <c r="E737" s="13">
        <f>SUMIFS('Лист2'!C:C, 'Лист2'!A:A, A737, 'Лист2'!B:B, B737)</f>
        <v>15</v>
      </c>
      <c r="F737" s="19">
        <v>890.0</v>
      </c>
      <c r="G737" s="19">
        <v>777.0</v>
      </c>
      <c r="H737" s="2">
        <f t="shared" si="1"/>
        <v>0</v>
      </c>
      <c r="I737" s="2">
        <f t="shared" si="2"/>
        <v>20</v>
      </c>
    </row>
    <row r="738" ht="14.25" customHeight="1">
      <c r="A738" s="18">
        <v>43965.0</v>
      </c>
      <c r="B738" s="13" t="s">
        <v>14</v>
      </c>
      <c r="C738" s="13"/>
      <c r="D738" s="13"/>
      <c r="E738" s="13">
        <f>SUMIFS('Лист2'!C:C, 'Лист2'!A:A, A738, 'Лист2'!B:B, B738)</f>
        <v>15</v>
      </c>
      <c r="F738" s="19">
        <v>638.0</v>
      </c>
      <c r="G738" s="19">
        <v>548.0</v>
      </c>
      <c r="H738" s="2">
        <f t="shared" si="1"/>
        <v>0</v>
      </c>
      <c r="I738" s="2">
        <f t="shared" si="2"/>
        <v>20</v>
      </c>
    </row>
    <row r="739" ht="14.25" customHeight="1">
      <c r="A739" s="18">
        <v>43965.0</v>
      </c>
      <c r="B739" s="13" t="s">
        <v>16</v>
      </c>
      <c r="C739" s="13"/>
      <c r="D739" s="13"/>
      <c r="E739" s="13">
        <f>SUMIFS('Лист2'!C:C, 'Лист2'!A:A, A739, 'Лист2'!B:B, B739)</f>
        <v>125</v>
      </c>
      <c r="F739" s="19">
        <v>20247.0</v>
      </c>
      <c r="G739" s="19">
        <v>18812.0</v>
      </c>
      <c r="H739" s="2">
        <f t="shared" si="1"/>
        <v>0</v>
      </c>
      <c r="I739" s="2">
        <f t="shared" si="2"/>
        <v>20</v>
      </c>
    </row>
    <row r="740" ht="14.25" customHeight="1">
      <c r="A740" s="18">
        <v>43965.0</v>
      </c>
      <c r="B740" s="13" t="s">
        <v>17</v>
      </c>
      <c r="C740" s="13"/>
      <c r="D740" s="13"/>
      <c r="E740" s="13">
        <f>SUMIFS('Лист2'!C:C, 'Лист2'!A:A, A740, 'Лист2'!B:B, B740)</f>
        <v>129</v>
      </c>
      <c r="F740" s="19">
        <v>15804.0</v>
      </c>
      <c r="G740" s="19">
        <v>14738.0</v>
      </c>
      <c r="H740" s="2">
        <f t="shared" si="1"/>
        <v>0</v>
      </c>
      <c r="I740" s="2">
        <f t="shared" si="2"/>
        <v>20</v>
      </c>
    </row>
    <row r="741" ht="14.25" customHeight="1">
      <c r="A741" s="18">
        <v>43965.0</v>
      </c>
      <c r="B741" s="13" t="s">
        <v>18</v>
      </c>
      <c r="C741" s="13"/>
      <c r="D741" s="13"/>
      <c r="E741" s="13">
        <f>SUMIFS('Лист2'!C:C, 'Лист2'!A:A, A741, 'Лист2'!B:B, B741)</f>
        <v>10</v>
      </c>
      <c r="F741" s="19">
        <v>627.0</v>
      </c>
      <c r="G741" s="19">
        <v>545.0</v>
      </c>
      <c r="H741" s="2">
        <f t="shared" si="1"/>
        <v>0</v>
      </c>
      <c r="I741" s="2">
        <f t="shared" si="2"/>
        <v>20</v>
      </c>
    </row>
    <row r="742" ht="14.25" customHeight="1">
      <c r="A742" s="18">
        <v>43966.0</v>
      </c>
      <c r="B742" s="13" t="s">
        <v>4</v>
      </c>
      <c r="C742" s="13"/>
      <c r="D742" s="13"/>
      <c r="E742" s="13">
        <f>SUMIFS('Лист2'!C:C, 'Лист2'!A:A, A742, 'Лист2'!B:B, B742)</f>
        <v>36</v>
      </c>
      <c r="F742" s="19">
        <v>4862.0</v>
      </c>
      <c r="G742" s="19">
        <v>4476.0</v>
      </c>
      <c r="H742" s="2">
        <f t="shared" si="1"/>
        <v>0</v>
      </c>
      <c r="I742" s="2">
        <f t="shared" si="2"/>
        <v>20</v>
      </c>
    </row>
    <row r="743" ht="14.25" customHeight="1">
      <c r="A743" s="18">
        <v>43966.0</v>
      </c>
      <c r="B743" s="13" t="s">
        <v>5</v>
      </c>
      <c r="C743" s="13"/>
      <c r="D743" s="13"/>
      <c r="E743" s="13">
        <f>SUMIFS('Лист2'!C:C, 'Лист2'!A:A, A743, 'Лист2'!B:B, B743)</f>
        <v>31</v>
      </c>
      <c r="F743" s="19">
        <v>5184.0</v>
      </c>
      <c r="G743" s="19">
        <v>4778.0</v>
      </c>
      <c r="H743" s="2">
        <f t="shared" si="1"/>
        <v>0</v>
      </c>
      <c r="I743" s="2">
        <f t="shared" si="2"/>
        <v>20</v>
      </c>
    </row>
    <row r="744" ht="14.25" customHeight="1">
      <c r="A744" s="18">
        <v>43966.0</v>
      </c>
      <c r="B744" s="13" t="s">
        <v>6</v>
      </c>
      <c r="C744" s="13"/>
      <c r="D744" s="13"/>
      <c r="E744" s="13">
        <f>SUMIFS('Лист2'!C:C, 'Лист2'!A:A, A744, 'Лист2'!B:B, B744)</f>
        <v>21</v>
      </c>
      <c r="F744" s="19">
        <v>2255.0</v>
      </c>
      <c r="G744" s="19">
        <v>2045.0</v>
      </c>
      <c r="H744" s="2">
        <f t="shared" si="1"/>
        <v>0</v>
      </c>
      <c r="I744" s="2">
        <f t="shared" si="2"/>
        <v>20</v>
      </c>
    </row>
    <row r="745" ht="14.25" customHeight="1">
      <c r="A745" s="18">
        <v>43966.0</v>
      </c>
      <c r="B745" s="13" t="s">
        <v>7</v>
      </c>
      <c r="C745" s="13"/>
      <c r="D745" s="13"/>
      <c r="E745" s="13">
        <f>SUMIFS('Лист2'!C:C, 'Лист2'!A:A, A745, 'Лист2'!B:B, B745)</f>
        <v>21</v>
      </c>
      <c r="F745" s="19">
        <v>1926.0</v>
      </c>
      <c r="G745" s="19">
        <v>1742.0</v>
      </c>
      <c r="H745" s="2">
        <f t="shared" si="1"/>
        <v>0</v>
      </c>
      <c r="I745" s="2">
        <f t="shared" si="2"/>
        <v>20</v>
      </c>
    </row>
    <row r="746" ht="14.25" customHeight="1">
      <c r="A746" s="18">
        <v>43966.0</v>
      </c>
      <c r="B746" s="13" t="s">
        <v>8</v>
      </c>
      <c r="C746" s="13"/>
      <c r="D746" s="13"/>
      <c r="E746" s="13">
        <f>SUMIFS('Лист2'!C:C, 'Лист2'!A:A, A746, 'Лист2'!B:B, B746)</f>
        <v>19</v>
      </c>
      <c r="F746" s="19">
        <v>1780.0</v>
      </c>
      <c r="G746" s="19">
        <v>1615.0</v>
      </c>
      <c r="H746" s="2">
        <f t="shared" si="1"/>
        <v>0</v>
      </c>
      <c r="I746" s="2">
        <f t="shared" si="2"/>
        <v>20</v>
      </c>
    </row>
    <row r="747" ht="14.25" customHeight="1">
      <c r="A747" s="18">
        <v>43966.0</v>
      </c>
      <c r="B747" s="13" t="s">
        <v>9</v>
      </c>
      <c r="C747" s="13"/>
      <c r="D747" s="13"/>
      <c r="E747" s="13">
        <f>SUMIFS('Лист2'!C:C, 'Лист2'!A:A, A747, 'Лист2'!B:B, B747)</f>
        <v>54</v>
      </c>
      <c r="F747" s="19">
        <v>12791.0</v>
      </c>
      <c r="G747" s="19">
        <v>11950.0</v>
      </c>
      <c r="H747" s="2">
        <f t="shared" si="1"/>
        <v>0</v>
      </c>
      <c r="I747" s="2">
        <f t="shared" si="2"/>
        <v>20</v>
      </c>
    </row>
    <row r="748" ht="14.25" customHeight="1">
      <c r="A748" s="18">
        <v>43966.0</v>
      </c>
      <c r="B748" s="13" t="s">
        <v>10</v>
      </c>
      <c r="C748" s="13"/>
      <c r="D748" s="13"/>
      <c r="E748" s="13">
        <f>SUMIFS('Лист2'!C:C, 'Лист2'!A:A, A748, 'Лист2'!B:B, B748)</f>
        <v>60</v>
      </c>
      <c r="F748" s="19">
        <v>13544.0</v>
      </c>
      <c r="G748" s="19">
        <v>12643.0</v>
      </c>
      <c r="H748" s="2">
        <f t="shared" si="1"/>
        <v>0</v>
      </c>
      <c r="I748" s="2">
        <f t="shared" si="2"/>
        <v>20</v>
      </c>
    </row>
    <row r="749" ht="14.25" customHeight="1">
      <c r="A749" s="18">
        <v>43966.0</v>
      </c>
      <c r="B749" s="13" t="s">
        <v>11</v>
      </c>
      <c r="C749" s="13"/>
      <c r="D749" s="13"/>
      <c r="E749" s="13">
        <f>SUMIFS('Лист2'!C:C, 'Лист2'!A:A, A749, 'Лист2'!B:B, B749)</f>
        <v>19</v>
      </c>
      <c r="F749" s="19">
        <v>1940.0</v>
      </c>
      <c r="G749" s="19">
        <v>1715.0</v>
      </c>
      <c r="H749" s="2">
        <f t="shared" si="1"/>
        <v>0</v>
      </c>
      <c r="I749" s="2">
        <f t="shared" si="2"/>
        <v>20</v>
      </c>
    </row>
    <row r="750" ht="14.25" customHeight="1">
      <c r="A750" s="18">
        <v>43966.0</v>
      </c>
      <c r="B750" s="13" t="s">
        <v>12</v>
      </c>
      <c r="C750" s="13"/>
      <c r="D750" s="13"/>
      <c r="E750" s="13">
        <f>SUMIFS('Лист2'!C:C, 'Лист2'!A:A, A750, 'Лист2'!B:B, B750)</f>
        <v>16</v>
      </c>
      <c r="F750" s="19">
        <v>817.0</v>
      </c>
      <c r="G750" s="19">
        <v>718.0</v>
      </c>
      <c r="H750" s="2">
        <f t="shared" si="1"/>
        <v>0</v>
      </c>
      <c r="I750" s="2">
        <f t="shared" si="2"/>
        <v>20</v>
      </c>
    </row>
    <row r="751" ht="14.25" customHeight="1">
      <c r="A751" s="18">
        <v>43966.0</v>
      </c>
      <c r="B751" s="13" t="s">
        <v>13</v>
      </c>
      <c r="C751" s="13"/>
      <c r="D751" s="13"/>
      <c r="E751" s="13">
        <f>SUMIFS('Лист2'!C:C, 'Лист2'!A:A, A751, 'Лист2'!B:B, B751)</f>
        <v>15</v>
      </c>
      <c r="F751" s="19">
        <v>980.0</v>
      </c>
      <c r="G751" s="19">
        <v>867.0</v>
      </c>
      <c r="H751" s="2">
        <f t="shared" si="1"/>
        <v>0</v>
      </c>
      <c r="I751" s="2">
        <f t="shared" si="2"/>
        <v>20</v>
      </c>
    </row>
    <row r="752" ht="14.25" customHeight="1">
      <c r="A752" s="18">
        <v>43966.0</v>
      </c>
      <c r="B752" s="13" t="s">
        <v>14</v>
      </c>
      <c r="C752" s="13"/>
      <c r="D752" s="13"/>
      <c r="E752" s="13">
        <f>SUMIFS('Лист2'!C:C, 'Лист2'!A:A, A752, 'Лист2'!B:B, B752)</f>
        <v>15</v>
      </c>
      <c r="F752" s="19">
        <v>688.0</v>
      </c>
      <c r="G752" s="19">
        <v>598.0</v>
      </c>
      <c r="H752" s="2">
        <f t="shared" si="1"/>
        <v>0</v>
      </c>
      <c r="I752" s="2">
        <f t="shared" si="2"/>
        <v>20</v>
      </c>
    </row>
    <row r="753" ht="14.25" customHeight="1">
      <c r="A753" s="18">
        <v>43966.0</v>
      </c>
      <c r="B753" s="13" t="s">
        <v>16</v>
      </c>
      <c r="C753" s="13"/>
      <c r="D753" s="13"/>
      <c r="E753" s="13">
        <f>SUMIFS('Лист2'!C:C, 'Лист2'!A:A, A753, 'Лист2'!B:B, B753)</f>
        <v>125</v>
      </c>
      <c r="F753" s="19">
        <v>21862.0</v>
      </c>
      <c r="G753" s="19">
        <v>20235.0</v>
      </c>
      <c r="H753" s="2">
        <f t="shared" si="1"/>
        <v>0</v>
      </c>
      <c r="I753" s="2">
        <f t="shared" si="2"/>
        <v>20</v>
      </c>
    </row>
    <row r="754" ht="14.25" customHeight="1">
      <c r="A754" s="18">
        <v>43966.0</v>
      </c>
      <c r="B754" s="13" t="s">
        <v>17</v>
      </c>
      <c r="C754" s="13"/>
      <c r="D754" s="13"/>
      <c r="E754" s="13">
        <f>SUMIFS('Лист2'!C:C, 'Лист2'!A:A, A754, 'Лист2'!B:B, B754)</f>
        <v>129</v>
      </c>
      <c r="F754" s="19">
        <v>17808.0</v>
      </c>
      <c r="G754" s="19">
        <v>16486.0</v>
      </c>
      <c r="H754" s="2">
        <f t="shared" si="1"/>
        <v>0</v>
      </c>
      <c r="I754" s="2">
        <f t="shared" si="2"/>
        <v>20</v>
      </c>
    </row>
    <row r="755" ht="14.25" customHeight="1">
      <c r="A755" s="18">
        <v>43966.0</v>
      </c>
      <c r="B755" s="13" t="s">
        <v>18</v>
      </c>
      <c r="C755" s="13"/>
      <c r="D755" s="13"/>
      <c r="E755" s="13">
        <f>SUMIFS('Лист2'!C:C, 'Лист2'!A:A, A755, 'Лист2'!B:B, B755)</f>
        <v>10</v>
      </c>
      <c r="F755" s="19">
        <v>743.0</v>
      </c>
      <c r="G755" s="19">
        <v>652.0</v>
      </c>
      <c r="H755" s="2">
        <f t="shared" si="1"/>
        <v>0</v>
      </c>
      <c r="I755" s="2">
        <f t="shared" si="2"/>
        <v>20</v>
      </c>
    </row>
    <row r="756" ht="14.25" customHeight="1">
      <c r="A756" s="18">
        <v>43967.0</v>
      </c>
      <c r="B756" s="13" t="s">
        <v>4</v>
      </c>
      <c r="C756" s="13"/>
      <c r="D756" s="13"/>
      <c r="E756" s="13">
        <f>SUMIFS('Лист2'!C:C, 'Лист2'!A:A, A756, 'Лист2'!B:B, B756)</f>
        <v>36</v>
      </c>
      <c r="F756" s="19">
        <v>5286.0</v>
      </c>
      <c r="G756" s="19">
        <v>4867.0</v>
      </c>
      <c r="H756" s="2">
        <f t="shared" si="1"/>
        <v>0</v>
      </c>
      <c r="I756" s="2">
        <f t="shared" si="2"/>
        <v>20</v>
      </c>
    </row>
    <row r="757" ht="14.25" customHeight="1">
      <c r="A757" s="18">
        <v>43967.0</v>
      </c>
      <c r="B757" s="13" t="s">
        <v>5</v>
      </c>
      <c r="C757" s="13"/>
      <c r="D757" s="13"/>
      <c r="E757" s="13">
        <f>SUMIFS('Лист2'!C:C, 'Лист2'!A:A, A757, 'Лист2'!B:B, B757)</f>
        <v>31</v>
      </c>
      <c r="F757" s="19">
        <v>5593.0</v>
      </c>
      <c r="G757" s="19">
        <v>5177.0</v>
      </c>
      <c r="H757" s="2">
        <f t="shared" si="1"/>
        <v>0</v>
      </c>
      <c r="I757" s="2">
        <f t="shared" si="2"/>
        <v>20</v>
      </c>
    </row>
    <row r="758" ht="14.25" customHeight="1">
      <c r="A758" s="18">
        <v>43967.0</v>
      </c>
      <c r="B758" s="13" t="s">
        <v>6</v>
      </c>
      <c r="C758" s="13"/>
      <c r="D758" s="13"/>
      <c r="E758" s="13">
        <f>SUMIFS('Лист2'!C:C, 'Лист2'!A:A, A758, 'Лист2'!B:B, B758)</f>
        <v>21</v>
      </c>
      <c r="F758" s="19">
        <v>2427.0</v>
      </c>
      <c r="G758" s="19">
        <v>2213.0</v>
      </c>
      <c r="H758" s="2">
        <f t="shared" si="1"/>
        <v>0</v>
      </c>
      <c r="I758" s="2">
        <f t="shared" si="2"/>
        <v>20</v>
      </c>
    </row>
    <row r="759" ht="14.25" customHeight="1">
      <c r="A759" s="18">
        <v>43967.0</v>
      </c>
      <c r="B759" s="13" t="s">
        <v>7</v>
      </c>
      <c r="C759" s="13"/>
      <c r="D759" s="13"/>
      <c r="E759" s="13">
        <f>SUMIFS('Лист2'!C:C, 'Лист2'!A:A, A759, 'Лист2'!B:B, B759)</f>
        <v>21</v>
      </c>
      <c r="F759" s="19">
        <v>2145.0</v>
      </c>
      <c r="G759" s="19">
        <v>1947.0</v>
      </c>
      <c r="H759" s="2">
        <f t="shared" si="1"/>
        <v>0</v>
      </c>
      <c r="I759" s="2">
        <f t="shared" si="2"/>
        <v>20</v>
      </c>
    </row>
    <row r="760" ht="14.25" customHeight="1">
      <c r="A760" s="18">
        <v>43967.0</v>
      </c>
      <c r="B760" s="13" t="s">
        <v>8</v>
      </c>
      <c r="C760" s="13"/>
      <c r="D760" s="13"/>
      <c r="E760" s="13">
        <f>SUMIFS('Лист2'!C:C, 'Лист2'!A:A, A760, 'Лист2'!B:B, B760)</f>
        <v>19</v>
      </c>
      <c r="F760" s="19">
        <v>2039.0</v>
      </c>
      <c r="G760" s="19">
        <v>1868.0</v>
      </c>
      <c r="H760" s="2">
        <f t="shared" si="1"/>
        <v>0</v>
      </c>
      <c r="I760" s="2">
        <f t="shared" si="2"/>
        <v>20</v>
      </c>
    </row>
    <row r="761" ht="14.25" customHeight="1">
      <c r="A761" s="18">
        <v>43967.0</v>
      </c>
      <c r="B761" s="13" t="s">
        <v>9</v>
      </c>
      <c r="C761" s="13"/>
      <c r="D761" s="13"/>
      <c r="E761" s="13">
        <f>SUMIFS('Лист2'!C:C, 'Лист2'!A:A, A761, 'Лист2'!B:B, B761)</f>
        <v>54</v>
      </c>
      <c r="F761" s="19">
        <v>13170.0</v>
      </c>
      <c r="G761" s="19">
        <v>12299.0</v>
      </c>
      <c r="H761" s="2">
        <f t="shared" si="1"/>
        <v>0</v>
      </c>
      <c r="I761" s="2">
        <f t="shared" si="2"/>
        <v>20</v>
      </c>
    </row>
    <row r="762" ht="14.25" customHeight="1">
      <c r="A762" s="18">
        <v>43967.0</v>
      </c>
      <c r="B762" s="13" t="s">
        <v>10</v>
      </c>
      <c r="C762" s="13"/>
      <c r="D762" s="13"/>
      <c r="E762" s="13">
        <f>SUMIFS('Лист2'!C:C, 'Лист2'!A:A, A762, 'Лист2'!B:B, B762)</f>
        <v>60</v>
      </c>
      <c r="F762" s="19">
        <v>14049.0</v>
      </c>
      <c r="G762" s="19">
        <v>13118.0</v>
      </c>
      <c r="H762" s="2">
        <f t="shared" si="1"/>
        <v>0</v>
      </c>
      <c r="I762" s="2">
        <f t="shared" si="2"/>
        <v>20</v>
      </c>
    </row>
    <row r="763" ht="14.25" customHeight="1">
      <c r="A763" s="18">
        <v>43967.0</v>
      </c>
      <c r="B763" s="13" t="s">
        <v>11</v>
      </c>
      <c r="C763" s="13"/>
      <c r="D763" s="13"/>
      <c r="E763" s="13">
        <f>SUMIFS('Лист2'!C:C, 'Лист2'!A:A, A763, 'Лист2'!B:B, B763)</f>
        <v>19</v>
      </c>
      <c r="F763" s="19">
        <v>2080.0</v>
      </c>
      <c r="G763" s="19">
        <v>1844.0</v>
      </c>
      <c r="H763" s="2">
        <f t="shared" si="1"/>
        <v>0</v>
      </c>
      <c r="I763" s="2">
        <f t="shared" si="2"/>
        <v>20</v>
      </c>
    </row>
    <row r="764" ht="14.25" customHeight="1">
      <c r="A764" s="18">
        <v>43967.0</v>
      </c>
      <c r="B764" s="13" t="s">
        <v>12</v>
      </c>
      <c r="C764" s="13"/>
      <c r="D764" s="13"/>
      <c r="E764" s="13">
        <f>SUMIFS('Лист2'!C:C, 'Лист2'!A:A, A764, 'Лист2'!B:B, B764)</f>
        <v>16</v>
      </c>
      <c r="F764" s="19">
        <v>920.0</v>
      </c>
      <c r="G764" s="19">
        <v>818.0</v>
      </c>
      <c r="H764" s="2">
        <f t="shared" si="1"/>
        <v>0</v>
      </c>
      <c r="I764" s="2">
        <f t="shared" si="2"/>
        <v>20</v>
      </c>
    </row>
    <row r="765" ht="14.25" customHeight="1">
      <c r="A765" s="18">
        <v>43967.0</v>
      </c>
      <c r="B765" s="13" t="s">
        <v>13</v>
      </c>
      <c r="C765" s="13"/>
      <c r="D765" s="13"/>
      <c r="E765" s="13">
        <f>SUMIFS('Лист2'!C:C, 'Лист2'!A:A, A765, 'Лист2'!B:B, B765)</f>
        <v>15</v>
      </c>
      <c r="F765" s="19">
        <v>1111.0</v>
      </c>
      <c r="G765" s="19">
        <v>992.0</v>
      </c>
      <c r="H765" s="2">
        <f t="shared" si="1"/>
        <v>0</v>
      </c>
      <c r="I765" s="2">
        <f t="shared" si="2"/>
        <v>20</v>
      </c>
    </row>
    <row r="766" ht="14.25" customHeight="1">
      <c r="A766" s="18">
        <v>43967.0</v>
      </c>
      <c r="B766" s="13" t="s">
        <v>14</v>
      </c>
      <c r="C766" s="13"/>
      <c r="D766" s="13"/>
      <c r="E766" s="13">
        <f>SUMIFS('Лист2'!C:C, 'Лист2'!A:A, A766, 'Лист2'!B:B, B766)</f>
        <v>15</v>
      </c>
      <c r="F766" s="19">
        <v>747.0</v>
      </c>
      <c r="G766" s="19">
        <v>647.0</v>
      </c>
      <c r="H766" s="2">
        <f t="shared" si="1"/>
        <v>0</v>
      </c>
      <c r="I766" s="2">
        <f t="shared" si="2"/>
        <v>20</v>
      </c>
    </row>
    <row r="767" ht="14.25" customHeight="1">
      <c r="A767" s="18">
        <v>43967.0</v>
      </c>
      <c r="B767" s="13" t="s">
        <v>16</v>
      </c>
      <c r="C767" s="13"/>
      <c r="D767" s="13"/>
      <c r="E767" s="13">
        <f>SUMIFS('Лист2'!C:C, 'Лист2'!A:A, A767, 'Лист2'!B:B, B767)</f>
        <v>125</v>
      </c>
      <c r="F767" s="19">
        <v>22291.0</v>
      </c>
      <c r="G767" s="19">
        <v>20635.0</v>
      </c>
      <c r="H767" s="2">
        <f t="shared" si="1"/>
        <v>0</v>
      </c>
      <c r="I767" s="2">
        <f t="shared" si="2"/>
        <v>20</v>
      </c>
    </row>
    <row r="768" ht="14.25" customHeight="1">
      <c r="A768" s="18">
        <v>43967.0</v>
      </c>
      <c r="B768" s="13" t="s">
        <v>17</v>
      </c>
      <c r="C768" s="13"/>
      <c r="D768" s="13"/>
      <c r="E768" s="13">
        <f>SUMIFS('Лист2'!C:C, 'Лист2'!A:A, A768, 'Лист2'!B:B, B768)</f>
        <v>129</v>
      </c>
      <c r="F768" s="19">
        <v>17914.0</v>
      </c>
      <c r="G768" s="19">
        <v>16631.0</v>
      </c>
      <c r="H768" s="2">
        <f t="shared" si="1"/>
        <v>0</v>
      </c>
      <c r="I768" s="2">
        <f t="shared" si="2"/>
        <v>20</v>
      </c>
    </row>
    <row r="769" ht="14.25" customHeight="1">
      <c r="A769" s="18">
        <v>43967.0</v>
      </c>
      <c r="B769" s="13" t="s">
        <v>18</v>
      </c>
      <c r="C769" s="13"/>
      <c r="D769" s="13"/>
      <c r="E769" s="13">
        <f>SUMIFS('Лист2'!C:C, 'Лист2'!A:A, A769, 'Лист2'!B:B, B769)</f>
        <v>10</v>
      </c>
      <c r="F769" s="19">
        <v>760.0</v>
      </c>
      <c r="G769" s="19">
        <v>672.0</v>
      </c>
      <c r="H769" s="2">
        <f t="shared" si="1"/>
        <v>0</v>
      </c>
      <c r="I769" s="2">
        <f t="shared" si="2"/>
        <v>20</v>
      </c>
    </row>
    <row r="770" ht="14.25" customHeight="1">
      <c r="A770" s="18">
        <v>43968.0</v>
      </c>
      <c r="B770" s="13" t="s">
        <v>4</v>
      </c>
      <c r="C770" s="13"/>
      <c r="D770" s="13"/>
      <c r="E770" s="13">
        <f>SUMIFS('Лист2'!C:C, 'Лист2'!A:A, A770, 'Лист2'!B:B, B770)</f>
        <v>36</v>
      </c>
      <c r="F770" s="19">
        <v>4918.0</v>
      </c>
      <c r="G770" s="19">
        <v>4554.0</v>
      </c>
      <c r="H770" s="2">
        <f t="shared" si="1"/>
        <v>0</v>
      </c>
      <c r="I770" s="2">
        <f t="shared" si="2"/>
        <v>20</v>
      </c>
    </row>
    <row r="771" ht="14.25" customHeight="1">
      <c r="A771" s="18">
        <v>43968.0</v>
      </c>
      <c r="B771" s="13" t="s">
        <v>5</v>
      </c>
      <c r="C771" s="13"/>
      <c r="D771" s="13"/>
      <c r="E771" s="13">
        <f>SUMIFS('Лист2'!C:C, 'Лист2'!A:A, A771, 'Лист2'!B:B, B771)</f>
        <v>31</v>
      </c>
      <c r="F771" s="19">
        <v>5206.0</v>
      </c>
      <c r="G771" s="19">
        <v>4843.0</v>
      </c>
      <c r="H771" s="2">
        <f t="shared" si="1"/>
        <v>0</v>
      </c>
      <c r="I771" s="2">
        <f t="shared" si="2"/>
        <v>20</v>
      </c>
    </row>
    <row r="772" ht="14.25" customHeight="1">
      <c r="A772" s="18">
        <v>43968.0</v>
      </c>
      <c r="B772" s="13" t="s">
        <v>6</v>
      </c>
      <c r="C772" s="13"/>
      <c r="D772" s="13"/>
      <c r="E772" s="13">
        <f>SUMIFS('Лист2'!C:C, 'Лист2'!A:A, A772, 'Лист2'!B:B, B772)</f>
        <v>21</v>
      </c>
      <c r="F772" s="19">
        <v>2054.0</v>
      </c>
      <c r="G772" s="19">
        <v>1883.0</v>
      </c>
      <c r="H772" s="2">
        <f t="shared" si="1"/>
        <v>0</v>
      </c>
      <c r="I772" s="2">
        <f t="shared" si="2"/>
        <v>20</v>
      </c>
    </row>
    <row r="773" ht="14.25" customHeight="1">
      <c r="A773" s="18">
        <v>43968.0</v>
      </c>
      <c r="B773" s="13" t="s">
        <v>7</v>
      </c>
      <c r="C773" s="13"/>
      <c r="D773" s="13"/>
      <c r="E773" s="13">
        <f>SUMIFS('Лист2'!C:C, 'Лист2'!A:A, A773, 'Лист2'!B:B, B773)</f>
        <v>21</v>
      </c>
      <c r="F773" s="19">
        <v>1874.0</v>
      </c>
      <c r="G773" s="19">
        <v>1705.0</v>
      </c>
      <c r="H773" s="2">
        <f t="shared" si="1"/>
        <v>0</v>
      </c>
      <c r="I773" s="2">
        <f t="shared" si="2"/>
        <v>20</v>
      </c>
    </row>
    <row r="774" ht="14.25" customHeight="1">
      <c r="A774" s="18">
        <v>43968.0</v>
      </c>
      <c r="B774" s="13" t="s">
        <v>8</v>
      </c>
      <c r="C774" s="13"/>
      <c r="D774" s="13"/>
      <c r="E774" s="13">
        <f>SUMIFS('Лист2'!C:C, 'Лист2'!A:A, A774, 'Лист2'!B:B, B774)</f>
        <v>19</v>
      </c>
      <c r="F774" s="19">
        <v>1790.0</v>
      </c>
      <c r="G774" s="19">
        <v>1633.0</v>
      </c>
      <c r="H774" s="2">
        <f t="shared" si="1"/>
        <v>0</v>
      </c>
      <c r="I774" s="2">
        <f t="shared" si="2"/>
        <v>20</v>
      </c>
    </row>
    <row r="775" ht="14.25" customHeight="1">
      <c r="A775" s="18">
        <v>43968.0</v>
      </c>
      <c r="B775" s="13" t="s">
        <v>9</v>
      </c>
      <c r="C775" s="13"/>
      <c r="D775" s="13"/>
      <c r="E775" s="13">
        <f>SUMIFS('Лист2'!C:C, 'Лист2'!A:A, A775, 'Лист2'!B:B, B775)</f>
        <v>54</v>
      </c>
      <c r="F775" s="19">
        <v>11128.0</v>
      </c>
      <c r="G775" s="19">
        <v>10467.0</v>
      </c>
      <c r="H775" s="2">
        <f t="shared" si="1"/>
        <v>0</v>
      </c>
      <c r="I775" s="2">
        <f t="shared" si="2"/>
        <v>20</v>
      </c>
    </row>
    <row r="776" ht="14.25" customHeight="1">
      <c r="A776" s="18">
        <v>43968.0</v>
      </c>
      <c r="B776" s="13" t="s">
        <v>10</v>
      </c>
      <c r="C776" s="13"/>
      <c r="D776" s="13"/>
      <c r="E776" s="13">
        <f>SUMIFS('Лист2'!C:C, 'Лист2'!A:A, A776, 'Лист2'!B:B, B776)</f>
        <v>60</v>
      </c>
      <c r="F776" s="19">
        <v>11698.0</v>
      </c>
      <c r="G776" s="19">
        <v>10989.0</v>
      </c>
      <c r="H776" s="2">
        <f t="shared" si="1"/>
        <v>0</v>
      </c>
      <c r="I776" s="2">
        <f t="shared" si="2"/>
        <v>20</v>
      </c>
    </row>
    <row r="777" ht="14.25" customHeight="1">
      <c r="A777" s="18">
        <v>43968.0</v>
      </c>
      <c r="B777" s="13" t="s">
        <v>11</v>
      </c>
      <c r="C777" s="13"/>
      <c r="D777" s="13"/>
      <c r="E777" s="13">
        <f>SUMIFS('Лист2'!C:C, 'Лист2'!A:A, A777, 'Лист2'!B:B, B777)</f>
        <v>19</v>
      </c>
      <c r="F777" s="19">
        <v>1871.0</v>
      </c>
      <c r="G777" s="19">
        <v>1660.0</v>
      </c>
      <c r="H777" s="2">
        <f t="shared" si="1"/>
        <v>0</v>
      </c>
      <c r="I777" s="2">
        <f t="shared" si="2"/>
        <v>20</v>
      </c>
    </row>
    <row r="778" ht="14.25" customHeight="1">
      <c r="A778" s="18">
        <v>43968.0</v>
      </c>
      <c r="B778" s="13" t="s">
        <v>12</v>
      </c>
      <c r="C778" s="13"/>
      <c r="D778" s="13"/>
      <c r="E778" s="13">
        <f>SUMIFS('Лист2'!C:C, 'Лист2'!A:A, A778, 'Лист2'!B:B, B778)</f>
        <v>16</v>
      </c>
      <c r="F778" s="19">
        <v>859.0</v>
      </c>
      <c r="G778" s="19">
        <v>746.0</v>
      </c>
      <c r="H778" s="2">
        <f t="shared" si="1"/>
        <v>0</v>
      </c>
      <c r="I778" s="2">
        <f t="shared" si="2"/>
        <v>20</v>
      </c>
    </row>
    <row r="779" ht="14.25" customHeight="1">
      <c r="A779" s="18">
        <v>43968.0</v>
      </c>
      <c r="B779" s="13" t="s">
        <v>13</v>
      </c>
      <c r="C779" s="13"/>
      <c r="D779" s="13"/>
      <c r="E779" s="13">
        <f>SUMIFS('Лист2'!C:C, 'Лист2'!A:A, A779, 'Лист2'!B:B, B779)</f>
        <v>15</v>
      </c>
      <c r="F779" s="19">
        <v>971.0</v>
      </c>
      <c r="G779" s="19">
        <v>856.0</v>
      </c>
      <c r="H779" s="2">
        <f t="shared" si="1"/>
        <v>0</v>
      </c>
      <c r="I779" s="2">
        <f t="shared" si="2"/>
        <v>20</v>
      </c>
    </row>
    <row r="780" ht="14.25" customHeight="1">
      <c r="A780" s="18">
        <v>43968.0</v>
      </c>
      <c r="B780" s="13" t="s">
        <v>14</v>
      </c>
      <c r="C780" s="13"/>
      <c r="D780" s="13"/>
      <c r="E780" s="13">
        <f>SUMIFS('Лист2'!C:C, 'Лист2'!A:A, A780, 'Лист2'!B:B, B780)</f>
        <v>15</v>
      </c>
      <c r="F780" s="19">
        <v>692.0</v>
      </c>
      <c r="G780" s="19">
        <v>591.0</v>
      </c>
      <c r="H780" s="2">
        <f t="shared" si="1"/>
        <v>0</v>
      </c>
      <c r="I780" s="2">
        <f t="shared" si="2"/>
        <v>20</v>
      </c>
    </row>
    <row r="781" ht="14.25" customHeight="1">
      <c r="A781" s="18">
        <v>43968.0</v>
      </c>
      <c r="B781" s="13" t="s">
        <v>16</v>
      </c>
      <c r="C781" s="13"/>
      <c r="D781" s="13"/>
      <c r="E781" s="13">
        <f>SUMIFS('Лист2'!C:C, 'Лист2'!A:A, A781, 'Лист2'!B:B, B781)</f>
        <v>125</v>
      </c>
      <c r="F781" s="19">
        <v>20079.0</v>
      </c>
      <c r="G781" s="19">
        <v>18721.0</v>
      </c>
      <c r="H781" s="2">
        <f t="shared" si="1"/>
        <v>0</v>
      </c>
      <c r="I781" s="2">
        <f t="shared" si="2"/>
        <v>20</v>
      </c>
    </row>
    <row r="782" ht="14.25" customHeight="1">
      <c r="A782" s="18">
        <v>43968.0</v>
      </c>
      <c r="B782" s="13" t="s">
        <v>17</v>
      </c>
      <c r="C782" s="13"/>
      <c r="D782" s="13"/>
      <c r="E782" s="13">
        <f>SUMIFS('Лист2'!C:C, 'Лист2'!A:A, A782, 'Лист2'!B:B, B782)</f>
        <v>129</v>
      </c>
      <c r="F782" s="19">
        <v>15744.0</v>
      </c>
      <c r="G782" s="19">
        <v>14685.0</v>
      </c>
      <c r="H782" s="2">
        <f t="shared" si="1"/>
        <v>0</v>
      </c>
      <c r="I782" s="2">
        <f t="shared" si="2"/>
        <v>20</v>
      </c>
    </row>
    <row r="783" ht="14.25" customHeight="1">
      <c r="A783" s="18">
        <v>43968.0</v>
      </c>
      <c r="B783" s="13" t="s">
        <v>18</v>
      </c>
      <c r="C783" s="13"/>
      <c r="D783" s="13"/>
      <c r="E783" s="13">
        <f>SUMIFS('Лист2'!C:C, 'Лист2'!A:A, A783, 'Лист2'!B:B, B783)</f>
        <v>10</v>
      </c>
      <c r="F783" s="19">
        <v>591.0</v>
      </c>
      <c r="G783" s="19">
        <v>513.0</v>
      </c>
      <c r="H783" s="2">
        <f t="shared" si="1"/>
        <v>0</v>
      </c>
      <c r="I783" s="2">
        <f t="shared" si="2"/>
        <v>20</v>
      </c>
    </row>
    <row r="784" ht="14.25" customHeight="1">
      <c r="A784" s="18">
        <v>43969.0</v>
      </c>
      <c r="B784" s="13" t="s">
        <v>4</v>
      </c>
      <c r="C784" s="13"/>
      <c r="D784" s="13"/>
      <c r="E784" s="13">
        <f>SUMIFS('Лист2'!C:C, 'Лист2'!A:A, A784, 'Лист2'!B:B, B784)</f>
        <v>36</v>
      </c>
      <c r="F784" s="19">
        <v>4885.0</v>
      </c>
      <c r="G784" s="19">
        <v>4502.0</v>
      </c>
      <c r="H784" s="2">
        <f t="shared" si="1"/>
        <v>0</v>
      </c>
      <c r="I784" s="2">
        <f t="shared" si="2"/>
        <v>21</v>
      </c>
    </row>
    <row r="785" ht="14.25" customHeight="1">
      <c r="A785" s="18">
        <v>43969.0</v>
      </c>
      <c r="B785" s="13" t="s">
        <v>5</v>
      </c>
      <c r="C785" s="13"/>
      <c r="D785" s="13"/>
      <c r="E785" s="13">
        <f>SUMIFS('Лист2'!C:C, 'Лист2'!A:A, A785, 'Лист2'!B:B, B785)</f>
        <v>31</v>
      </c>
      <c r="F785" s="19">
        <v>5165.0</v>
      </c>
      <c r="G785" s="19">
        <v>4813.0</v>
      </c>
      <c r="H785" s="2">
        <f t="shared" si="1"/>
        <v>0</v>
      </c>
      <c r="I785" s="2">
        <f t="shared" si="2"/>
        <v>21</v>
      </c>
    </row>
    <row r="786" ht="14.25" customHeight="1">
      <c r="A786" s="18">
        <v>43969.0</v>
      </c>
      <c r="B786" s="13" t="s">
        <v>6</v>
      </c>
      <c r="C786" s="13"/>
      <c r="D786" s="13"/>
      <c r="E786" s="13">
        <f>SUMIFS('Лист2'!C:C, 'Лист2'!A:A, A786, 'Лист2'!B:B, B786)</f>
        <v>21</v>
      </c>
      <c r="F786" s="19">
        <v>2136.0</v>
      </c>
      <c r="G786" s="19">
        <v>1947.0</v>
      </c>
      <c r="H786" s="2">
        <f t="shared" si="1"/>
        <v>0</v>
      </c>
      <c r="I786" s="2">
        <f t="shared" si="2"/>
        <v>21</v>
      </c>
    </row>
    <row r="787" ht="14.25" customHeight="1">
      <c r="A787" s="18">
        <v>43969.0</v>
      </c>
      <c r="B787" s="13" t="s">
        <v>7</v>
      </c>
      <c r="C787" s="13"/>
      <c r="D787" s="13"/>
      <c r="E787" s="13">
        <f>SUMIFS('Лист2'!C:C, 'Лист2'!A:A, A787, 'Лист2'!B:B, B787)</f>
        <v>21</v>
      </c>
      <c r="F787" s="19">
        <v>1834.0</v>
      </c>
      <c r="G787" s="19">
        <v>1660.0</v>
      </c>
      <c r="H787" s="2">
        <f t="shared" si="1"/>
        <v>0</v>
      </c>
      <c r="I787" s="2">
        <f t="shared" si="2"/>
        <v>21</v>
      </c>
    </row>
    <row r="788" ht="14.25" customHeight="1">
      <c r="A788" s="18">
        <v>43969.0</v>
      </c>
      <c r="B788" s="13" t="s">
        <v>8</v>
      </c>
      <c r="C788" s="13"/>
      <c r="D788" s="13"/>
      <c r="E788" s="13">
        <f>SUMIFS('Лист2'!C:C, 'Лист2'!A:A, A788, 'Лист2'!B:B, B788)</f>
        <v>19</v>
      </c>
      <c r="F788" s="19">
        <v>1741.0</v>
      </c>
      <c r="G788" s="19">
        <v>1597.0</v>
      </c>
      <c r="H788" s="2">
        <f t="shared" si="1"/>
        <v>0</v>
      </c>
      <c r="I788" s="2">
        <f t="shared" si="2"/>
        <v>21</v>
      </c>
    </row>
    <row r="789" ht="14.25" customHeight="1">
      <c r="A789" s="18">
        <v>43969.0</v>
      </c>
      <c r="B789" s="13" t="s">
        <v>9</v>
      </c>
      <c r="C789" s="13"/>
      <c r="D789" s="13"/>
      <c r="E789" s="13">
        <f>SUMIFS('Лист2'!C:C, 'Лист2'!A:A, A789, 'Лист2'!B:B, B789)</f>
        <v>54</v>
      </c>
      <c r="F789" s="19">
        <v>12012.0</v>
      </c>
      <c r="G789" s="19">
        <v>11308.0</v>
      </c>
      <c r="H789" s="2">
        <f t="shared" si="1"/>
        <v>0</v>
      </c>
      <c r="I789" s="2">
        <f t="shared" si="2"/>
        <v>21</v>
      </c>
    </row>
    <row r="790" ht="14.25" customHeight="1">
      <c r="A790" s="18">
        <v>43969.0</v>
      </c>
      <c r="B790" s="13" t="s">
        <v>10</v>
      </c>
      <c r="C790" s="13"/>
      <c r="D790" s="13"/>
      <c r="E790" s="13">
        <f>SUMIFS('Лист2'!C:C, 'Лист2'!A:A, A790, 'Лист2'!B:B, B790)</f>
        <v>60</v>
      </c>
      <c r="F790" s="19">
        <v>12460.0</v>
      </c>
      <c r="G790" s="19">
        <v>11665.0</v>
      </c>
      <c r="H790" s="2">
        <f t="shared" si="1"/>
        <v>0</v>
      </c>
      <c r="I790" s="2">
        <f t="shared" si="2"/>
        <v>21</v>
      </c>
    </row>
    <row r="791" ht="14.25" customHeight="1">
      <c r="A791" s="18">
        <v>43969.0</v>
      </c>
      <c r="B791" s="13" t="s">
        <v>11</v>
      </c>
      <c r="C791" s="13"/>
      <c r="D791" s="13"/>
      <c r="E791" s="13">
        <f>SUMIFS('Лист2'!C:C, 'Лист2'!A:A, A791, 'Лист2'!B:B, B791)</f>
        <v>19</v>
      </c>
      <c r="F791" s="19">
        <v>1858.0</v>
      </c>
      <c r="G791" s="19">
        <v>1648.0</v>
      </c>
      <c r="H791" s="2">
        <f t="shared" si="1"/>
        <v>0</v>
      </c>
      <c r="I791" s="2">
        <f t="shared" si="2"/>
        <v>21</v>
      </c>
    </row>
    <row r="792" ht="14.25" customHeight="1">
      <c r="A792" s="18">
        <v>43969.0</v>
      </c>
      <c r="B792" s="13" t="s">
        <v>12</v>
      </c>
      <c r="C792" s="13"/>
      <c r="D792" s="13"/>
      <c r="E792" s="13">
        <f>SUMIFS('Лист2'!C:C, 'Лист2'!A:A, A792, 'Лист2'!B:B, B792)</f>
        <v>16</v>
      </c>
      <c r="F792" s="19">
        <v>864.0</v>
      </c>
      <c r="G792" s="19">
        <v>765.0</v>
      </c>
      <c r="H792" s="2">
        <f t="shared" si="1"/>
        <v>0</v>
      </c>
      <c r="I792" s="2">
        <f t="shared" si="2"/>
        <v>21</v>
      </c>
    </row>
    <row r="793" ht="14.25" customHeight="1">
      <c r="A793" s="18">
        <v>43969.0</v>
      </c>
      <c r="B793" s="13" t="s">
        <v>13</v>
      </c>
      <c r="C793" s="13"/>
      <c r="D793" s="13"/>
      <c r="E793" s="13">
        <f>SUMIFS('Лист2'!C:C, 'Лист2'!A:A, A793, 'Лист2'!B:B, B793)</f>
        <v>16</v>
      </c>
      <c r="F793" s="19">
        <v>925.0</v>
      </c>
      <c r="G793" s="19">
        <v>816.0</v>
      </c>
      <c r="H793" s="2">
        <f t="shared" si="1"/>
        <v>0</v>
      </c>
      <c r="I793" s="2">
        <f t="shared" si="2"/>
        <v>21</v>
      </c>
    </row>
    <row r="794" ht="14.25" customHeight="1">
      <c r="A794" s="18">
        <v>43969.0</v>
      </c>
      <c r="B794" s="13" t="s">
        <v>14</v>
      </c>
      <c r="C794" s="13"/>
      <c r="D794" s="13"/>
      <c r="E794" s="13">
        <f>SUMIFS('Лист2'!C:C, 'Лист2'!A:A, A794, 'Лист2'!B:B, B794)</f>
        <v>15</v>
      </c>
      <c r="F794" s="19">
        <v>729.0</v>
      </c>
      <c r="G794" s="19">
        <v>636.0</v>
      </c>
      <c r="H794" s="2">
        <f t="shared" si="1"/>
        <v>0</v>
      </c>
      <c r="I794" s="2">
        <f t="shared" si="2"/>
        <v>21</v>
      </c>
    </row>
    <row r="795" ht="14.25" customHeight="1">
      <c r="A795" s="18">
        <v>43969.0</v>
      </c>
      <c r="B795" s="13" t="s">
        <v>16</v>
      </c>
      <c r="C795" s="13"/>
      <c r="D795" s="13"/>
      <c r="E795" s="13">
        <f>SUMIFS('Лист2'!C:C, 'Лист2'!A:A, A795, 'Лист2'!B:B, B795)</f>
        <v>125</v>
      </c>
      <c r="F795" s="19">
        <v>20449.0</v>
      </c>
      <c r="G795" s="19">
        <v>19060.0</v>
      </c>
      <c r="H795" s="2">
        <f t="shared" si="1"/>
        <v>0</v>
      </c>
      <c r="I795" s="2">
        <f t="shared" si="2"/>
        <v>21</v>
      </c>
    </row>
    <row r="796" ht="14.25" customHeight="1">
      <c r="A796" s="18">
        <v>43969.0</v>
      </c>
      <c r="B796" s="13" t="s">
        <v>17</v>
      </c>
      <c r="C796" s="13"/>
      <c r="D796" s="13"/>
      <c r="E796" s="13">
        <f>SUMIFS('Лист2'!C:C, 'Лист2'!A:A, A796, 'Лист2'!B:B, B796)</f>
        <v>129</v>
      </c>
      <c r="F796" s="19">
        <v>16110.0</v>
      </c>
      <c r="G796" s="19">
        <v>14992.0</v>
      </c>
      <c r="H796" s="2">
        <f t="shared" si="1"/>
        <v>0</v>
      </c>
      <c r="I796" s="2">
        <f t="shared" si="2"/>
        <v>21</v>
      </c>
    </row>
    <row r="797" ht="14.25" customHeight="1">
      <c r="A797" s="18">
        <v>43969.0</v>
      </c>
      <c r="B797" s="13" t="s">
        <v>18</v>
      </c>
      <c r="C797" s="13"/>
      <c r="D797" s="13"/>
      <c r="E797" s="13">
        <f>SUMIFS('Лист2'!C:C, 'Лист2'!A:A, A797, 'Лист2'!B:B, B797)</f>
        <v>10</v>
      </c>
      <c r="F797" s="19">
        <v>645.0</v>
      </c>
      <c r="G797" s="19">
        <v>565.0</v>
      </c>
      <c r="H797" s="2">
        <f t="shared" si="1"/>
        <v>0</v>
      </c>
      <c r="I797" s="2">
        <f t="shared" si="2"/>
        <v>21</v>
      </c>
    </row>
    <row r="798" ht="14.25" customHeight="1">
      <c r="A798" s="18">
        <v>43970.0</v>
      </c>
      <c r="B798" s="13" t="s">
        <v>4</v>
      </c>
      <c r="C798" s="13"/>
      <c r="D798" s="13"/>
      <c r="E798" s="13">
        <f>SUMIFS('Лист2'!C:C, 'Лист2'!A:A, A798, 'Лист2'!B:B, B798)</f>
        <v>36</v>
      </c>
      <c r="F798" s="19">
        <v>5094.0</v>
      </c>
      <c r="G798" s="19">
        <v>4716.0</v>
      </c>
      <c r="H798" s="2">
        <f t="shared" si="1"/>
        <v>0</v>
      </c>
      <c r="I798" s="2">
        <f t="shared" si="2"/>
        <v>21</v>
      </c>
    </row>
    <row r="799" ht="14.25" customHeight="1">
      <c r="A799" s="18">
        <v>43970.0</v>
      </c>
      <c r="B799" s="13" t="s">
        <v>5</v>
      </c>
      <c r="C799" s="13"/>
      <c r="D799" s="13"/>
      <c r="E799" s="13">
        <f>SUMIFS('Лист2'!C:C, 'Лист2'!A:A, A799, 'Лист2'!B:B, B799)</f>
        <v>31</v>
      </c>
      <c r="F799" s="19">
        <v>5389.0</v>
      </c>
      <c r="G799" s="19">
        <v>5024.0</v>
      </c>
      <c r="H799" s="2">
        <f t="shared" si="1"/>
        <v>0</v>
      </c>
      <c r="I799" s="2">
        <f t="shared" si="2"/>
        <v>21</v>
      </c>
    </row>
    <row r="800" ht="14.25" customHeight="1">
      <c r="A800" s="18">
        <v>43970.0</v>
      </c>
      <c r="B800" s="13" t="s">
        <v>6</v>
      </c>
      <c r="C800" s="13"/>
      <c r="D800" s="13"/>
      <c r="E800" s="13">
        <f>SUMIFS('Лист2'!C:C, 'Лист2'!A:A, A800, 'Лист2'!B:B, B800)</f>
        <v>21</v>
      </c>
      <c r="F800" s="19">
        <v>2245.0</v>
      </c>
      <c r="G800" s="19">
        <v>2053.0</v>
      </c>
      <c r="H800" s="2">
        <f t="shared" si="1"/>
        <v>0</v>
      </c>
      <c r="I800" s="2">
        <f t="shared" si="2"/>
        <v>21</v>
      </c>
    </row>
    <row r="801" ht="14.25" customHeight="1">
      <c r="A801" s="18">
        <v>43970.0</v>
      </c>
      <c r="B801" s="13" t="s">
        <v>7</v>
      </c>
      <c r="C801" s="13"/>
      <c r="D801" s="13"/>
      <c r="E801" s="13">
        <f>SUMIFS('Лист2'!C:C, 'Лист2'!A:A, A801, 'Лист2'!B:B, B801)</f>
        <v>21</v>
      </c>
      <c r="F801" s="19">
        <v>1860.0</v>
      </c>
      <c r="G801" s="19">
        <v>1704.0</v>
      </c>
      <c r="H801" s="2">
        <f t="shared" si="1"/>
        <v>0</v>
      </c>
      <c r="I801" s="2">
        <f t="shared" si="2"/>
        <v>21</v>
      </c>
    </row>
    <row r="802" ht="14.25" customHeight="1">
      <c r="A802" s="18">
        <v>43970.0</v>
      </c>
      <c r="B802" s="13" t="s">
        <v>8</v>
      </c>
      <c r="C802" s="13"/>
      <c r="D802" s="13"/>
      <c r="E802" s="13">
        <f>SUMIFS('Лист2'!C:C, 'Лист2'!A:A, A802, 'Лист2'!B:B, B802)</f>
        <v>19</v>
      </c>
      <c r="F802" s="19">
        <v>1831.0</v>
      </c>
      <c r="G802" s="19">
        <v>1667.0</v>
      </c>
      <c r="H802" s="2">
        <f t="shared" si="1"/>
        <v>0</v>
      </c>
      <c r="I802" s="2">
        <f t="shared" si="2"/>
        <v>21</v>
      </c>
    </row>
    <row r="803" ht="14.25" customHeight="1">
      <c r="A803" s="18">
        <v>43970.0</v>
      </c>
      <c r="B803" s="13" t="s">
        <v>9</v>
      </c>
      <c r="C803" s="13"/>
      <c r="D803" s="13"/>
      <c r="E803" s="13">
        <f>SUMIFS('Лист2'!C:C, 'Лист2'!A:A, A803, 'Лист2'!B:B, B803)</f>
        <v>54</v>
      </c>
      <c r="F803" s="19">
        <v>13070.0</v>
      </c>
      <c r="G803" s="19">
        <v>12244.0</v>
      </c>
      <c r="H803" s="2">
        <f t="shared" si="1"/>
        <v>0</v>
      </c>
      <c r="I803" s="2">
        <f t="shared" si="2"/>
        <v>21</v>
      </c>
    </row>
    <row r="804" ht="14.25" customHeight="1">
      <c r="A804" s="18">
        <v>43970.0</v>
      </c>
      <c r="B804" s="13" t="s">
        <v>10</v>
      </c>
      <c r="C804" s="13"/>
      <c r="D804" s="13"/>
      <c r="E804" s="13">
        <f>SUMIFS('Лист2'!C:C, 'Лист2'!A:A, A804, 'Лист2'!B:B, B804)</f>
        <v>60</v>
      </c>
      <c r="F804" s="19">
        <v>13867.0</v>
      </c>
      <c r="G804" s="19">
        <v>12987.0</v>
      </c>
      <c r="H804" s="2">
        <f t="shared" si="1"/>
        <v>0</v>
      </c>
      <c r="I804" s="2">
        <f t="shared" si="2"/>
        <v>21</v>
      </c>
    </row>
    <row r="805" ht="14.25" customHeight="1">
      <c r="A805" s="18">
        <v>43970.0</v>
      </c>
      <c r="B805" s="13" t="s">
        <v>11</v>
      </c>
      <c r="C805" s="13"/>
      <c r="D805" s="13"/>
      <c r="E805" s="13">
        <f>SUMIFS('Лист2'!C:C, 'Лист2'!A:A, A805, 'Лист2'!B:B, B805)</f>
        <v>19</v>
      </c>
      <c r="F805" s="19">
        <v>1999.0</v>
      </c>
      <c r="G805" s="19">
        <v>1799.0</v>
      </c>
      <c r="H805" s="2">
        <f t="shared" si="1"/>
        <v>0</v>
      </c>
      <c r="I805" s="2">
        <f t="shared" si="2"/>
        <v>21</v>
      </c>
    </row>
    <row r="806" ht="14.25" customHeight="1">
      <c r="A806" s="18">
        <v>43970.0</v>
      </c>
      <c r="B806" s="13" t="s">
        <v>12</v>
      </c>
      <c r="C806" s="13"/>
      <c r="D806" s="13"/>
      <c r="E806" s="13">
        <f>SUMIFS('Лист2'!C:C, 'Лист2'!A:A, A806, 'Лист2'!B:B, B806)</f>
        <v>17</v>
      </c>
      <c r="F806" s="19">
        <v>857.0</v>
      </c>
      <c r="G806" s="19">
        <v>757.0</v>
      </c>
      <c r="H806" s="2">
        <f t="shared" si="1"/>
        <v>0</v>
      </c>
      <c r="I806" s="2">
        <f t="shared" si="2"/>
        <v>21</v>
      </c>
    </row>
    <row r="807" ht="14.25" customHeight="1">
      <c r="A807" s="18">
        <v>43970.0</v>
      </c>
      <c r="B807" s="13" t="s">
        <v>13</v>
      </c>
      <c r="C807" s="13"/>
      <c r="D807" s="13"/>
      <c r="E807" s="13">
        <f>SUMIFS('Лист2'!C:C, 'Лист2'!A:A, A807, 'Лист2'!B:B, B807)</f>
        <v>16</v>
      </c>
      <c r="F807" s="19">
        <v>1012.0</v>
      </c>
      <c r="G807" s="19">
        <v>900.0</v>
      </c>
      <c r="H807" s="2">
        <f t="shared" si="1"/>
        <v>0</v>
      </c>
      <c r="I807" s="2">
        <f t="shared" si="2"/>
        <v>21</v>
      </c>
    </row>
    <row r="808" ht="14.25" customHeight="1">
      <c r="A808" s="18">
        <v>43970.0</v>
      </c>
      <c r="B808" s="13" t="s">
        <v>14</v>
      </c>
      <c r="C808" s="13"/>
      <c r="D808" s="13"/>
      <c r="E808" s="13">
        <f>SUMIFS('Лист2'!C:C, 'Лист2'!A:A, A808, 'Лист2'!B:B, B808)</f>
        <v>15</v>
      </c>
      <c r="F808" s="19">
        <v>930.0</v>
      </c>
      <c r="G808" s="19">
        <v>827.0</v>
      </c>
      <c r="H808" s="2">
        <f t="shared" si="1"/>
        <v>0</v>
      </c>
      <c r="I808" s="2">
        <f t="shared" si="2"/>
        <v>21</v>
      </c>
    </row>
    <row r="809" ht="14.25" customHeight="1">
      <c r="A809" s="18">
        <v>43970.0</v>
      </c>
      <c r="B809" s="13" t="s">
        <v>16</v>
      </c>
      <c r="C809" s="13"/>
      <c r="D809" s="13"/>
      <c r="E809" s="13">
        <f>SUMIFS('Лист2'!C:C, 'Лист2'!A:A, A809, 'Лист2'!B:B, B809)</f>
        <v>125</v>
      </c>
      <c r="F809" s="19">
        <v>20771.0</v>
      </c>
      <c r="G809" s="19">
        <v>19338.0</v>
      </c>
      <c r="H809" s="2">
        <f t="shared" si="1"/>
        <v>0</v>
      </c>
      <c r="I809" s="2">
        <f t="shared" si="2"/>
        <v>21</v>
      </c>
    </row>
    <row r="810" ht="14.25" customHeight="1">
      <c r="A810" s="18">
        <v>43970.0</v>
      </c>
      <c r="B810" s="13" t="s">
        <v>17</v>
      </c>
      <c r="C810" s="13"/>
      <c r="D810" s="13"/>
      <c r="E810" s="13">
        <f>SUMIFS('Лист2'!C:C, 'Лист2'!A:A, A810, 'Лист2'!B:B, B810)</f>
        <v>129</v>
      </c>
      <c r="F810" s="19">
        <v>16191.0</v>
      </c>
      <c r="G810" s="19">
        <v>15102.0</v>
      </c>
      <c r="H810" s="2">
        <f t="shared" si="1"/>
        <v>0</v>
      </c>
      <c r="I810" s="2">
        <f t="shared" si="2"/>
        <v>21</v>
      </c>
    </row>
    <row r="811" ht="14.25" customHeight="1">
      <c r="A811" s="18">
        <v>43970.0</v>
      </c>
      <c r="B811" s="13" t="s">
        <v>18</v>
      </c>
      <c r="C811" s="13"/>
      <c r="D811" s="13"/>
      <c r="E811" s="13">
        <f>SUMIFS('Лист2'!C:C, 'Лист2'!A:A, A811, 'Лист2'!B:B, B811)</f>
        <v>10</v>
      </c>
      <c r="F811" s="19">
        <v>649.0</v>
      </c>
      <c r="G811" s="19">
        <v>568.0</v>
      </c>
      <c r="H811" s="2">
        <f t="shared" si="1"/>
        <v>0</v>
      </c>
      <c r="I811" s="2">
        <f t="shared" si="2"/>
        <v>21</v>
      </c>
    </row>
    <row r="812" ht="14.25" customHeight="1">
      <c r="A812" s="18">
        <v>43971.0</v>
      </c>
      <c r="B812" s="13" t="s">
        <v>4</v>
      </c>
      <c r="C812" s="13"/>
      <c r="D812" s="13"/>
      <c r="E812" s="13">
        <f>SUMIFS('Лист2'!C:C, 'Лист2'!A:A, A812, 'Лист2'!B:B, B812)</f>
        <v>36</v>
      </c>
      <c r="F812" s="19">
        <v>5914.0</v>
      </c>
      <c r="G812" s="19">
        <v>5384.0</v>
      </c>
      <c r="H812" s="2">
        <f t="shared" si="1"/>
        <v>0</v>
      </c>
      <c r="I812" s="2">
        <f t="shared" si="2"/>
        <v>21</v>
      </c>
    </row>
    <row r="813" ht="14.25" customHeight="1">
      <c r="A813" s="18">
        <v>43971.0</v>
      </c>
      <c r="B813" s="13" t="s">
        <v>5</v>
      </c>
      <c r="C813" s="13"/>
      <c r="D813" s="13"/>
      <c r="E813" s="13">
        <f>SUMIFS('Лист2'!C:C, 'Лист2'!A:A, A813, 'Лист2'!B:B, B813)</f>
        <v>31</v>
      </c>
      <c r="F813" s="19">
        <v>5698.0</v>
      </c>
      <c r="G813" s="19">
        <v>5258.0</v>
      </c>
      <c r="H813" s="2">
        <f t="shared" si="1"/>
        <v>0</v>
      </c>
      <c r="I813" s="2">
        <f t="shared" si="2"/>
        <v>21</v>
      </c>
    </row>
    <row r="814" ht="14.25" customHeight="1">
      <c r="A814" s="18">
        <v>43971.0</v>
      </c>
      <c r="B814" s="13" t="s">
        <v>6</v>
      </c>
      <c r="C814" s="13"/>
      <c r="D814" s="13"/>
      <c r="E814" s="13">
        <f>SUMIFS('Лист2'!C:C, 'Лист2'!A:A, A814, 'Лист2'!B:B, B814)</f>
        <v>21</v>
      </c>
      <c r="F814" s="19">
        <v>2410.0</v>
      </c>
      <c r="G814" s="19">
        <v>2202.0</v>
      </c>
      <c r="H814" s="2">
        <f t="shared" si="1"/>
        <v>0</v>
      </c>
      <c r="I814" s="2">
        <f t="shared" si="2"/>
        <v>21</v>
      </c>
    </row>
    <row r="815" ht="14.25" customHeight="1">
      <c r="A815" s="18">
        <v>43971.0</v>
      </c>
      <c r="B815" s="13" t="s">
        <v>7</v>
      </c>
      <c r="C815" s="13"/>
      <c r="D815" s="13"/>
      <c r="E815" s="13">
        <f>SUMIFS('Лист2'!C:C, 'Лист2'!A:A, A815, 'Лист2'!B:B, B815)</f>
        <v>21</v>
      </c>
      <c r="F815" s="19">
        <v>1921.0</v>
      </c>
      <c r="G815" s="19">
        <v>1767.0</v>
      </c>
      <c r="H815" s="2">
        <f t="shared" si="1"/>
        <v>0</v>
      </c>
      <c r="I815" s="2">
        <f t="shared" si="2"/>
        <v>21</v>
      </c>
    </row>
    <row r="816" ht="14.25" customHeight="1">
      <c r="A816" s="18">
        <v>43971.0</v>
      </c>
      <c r="B816" s="13" t="s">
        <v>8</v>
      </c>
      <c r="C816" s="13"/>
      <c r="D816" s="13"/>
      <c r="E816" s="13">
        <f>SUMIFS('Лист2'!C:C, 'Лист2'!A:A, A816, 'Лист2'!B:B, B816)</f>
        <v>19</v>
      </c>
      <c r="F816" s="19">
        <v>1823.0</v>
      </c>
      <c r="G816" s="19">
        <v>1678.0</v>
      </c>
      <c r="H816" s="2">
        <f t="shared" si="1"/>
        <v>0</v>
      </c>
      <c r="I816" s="2">
        <f t="shared" si="2"/>
        <v>21</v>
      </c>
    </row>
    <row r="817" ht="14.25" customHeight="1">
      <c r="A817" s="18">
        <v>43971.0</v>
      </c>
      <c r="B817" s="13" t="s">
        <v>9</v>
      </c>
      <c r="C817" s="13"/>
      <c r="D817" s="13"/>
      <c r="E817" s="13">
        <f>SUMIFS('Лист2'!C:C, 'Лист2'!A:A, A817, 'Лист2'!B:B, B817)</f>
        <v>54</v>
      </c>
      <c r="F817" s="19">
        <v>13298.0</v>
      </c>
      <c r="G817" s="19">
        <v>12428.0</v>
      </c>
      <c r="H817" s="2">
        <f t="shared" si="1"/>
        <v>0</v>
      </c>
      <c r="I817" s="2">
        <f t="shared" si="2"/>
        <v>21</v>
      </c>
    </row>
    <row r="818" ht="14.25" customHeight="1">
      <c r="A818" s="18">
        <v>43971.0</v>
      </c>
      <c r="B818" s="13" t="s">
        <v>10</v>
      </c>
      <c r="C818" s="13"/>
      <c r="D818" s="13"/>
      <c r="E818" s="13">
        <f>SUMIFS('Лист2'!C:C, 'Лист2'!A:A, A818, 'Лист2'!B:B, B818)</f>
        <v>60</v>
      </c>
      <c r="F818" s="19">
        <v>13792.0</v>
      </c>
      <c r="G818" s="19">
        <v>12834.0</v>
      </c>
      <c r="H818" s="2">
        <f t="shared" si="1"/>
        <v>0</v>
      </c>
      <c r="I818" s="2">
        <f t="shared" si="2"/>
        <v>21</v>
      </c>
    </row>
    <row r="819" ht="14.25" customHeight="1">
      <c r="A819" s="18">
        <v>43971.0</v>
      </c>
      <c r="B819" s="13" t="s">
        <v>11</v>
      </c>
      <c r="C819" s="13"/>
      <c r="D819" s="13"/>
      <c r="E819" s="13">
        <f>SUMIFS('Лист2'!C:C, 'Лист2'!A:A, A819, 'Лист2'!B:B, B819)</f>
        <v>19</v>
      </c>
      <c r="F819" s="19">
        <v>1889.0</v>
      </c>
      <c r="G819" s="19">
        <v>1690.0</v>
      </c>
      <c r="H819" s="2">
        <f t="shared" si="1"/>
        <v>0</v>
      </c>
      <c r="I819" s="2">
        <f t="shared" si="2"/>
        <v>21</v>
      </c>
    </row>
    <row r="820" ht="14.25" customHeight="1">
      <c r="A820" s="18">
        <v>43971.0</v>
      </c>
      <c r="B820" s="13" t="s">
        <v>12</v>
      </c>
      <c r="C820" s="13"/>
      <c r="D820" s="13"/>
      <c r="E820" s="13">
        <f>SUMIFS('Лист2'!C:C, 'Лист2'!A:A, A820, 'Лист2'!B:B, B820)</f>
        <v>17</v>
      </c>
      <c r="F820" s="19">
        <v>890.0</v>
      </c>
      <c r="G820" s="19">
        <v>794.0</v>
      </c>
      <c r="H820" s="2">
        <f t="shared" si="1"/>
        <v>0</v>
      </c>
      <c r="I820" s="2">
        <f t="shared" si="2"/>
        <v>21</v>
      </c>
    </row>
    <row r="821" ht="14.25" customHeight="1">
      <c r="A821" s="18">
        <v>43971.0</v>
      </c>
      <c r="B821" s="13" t="s">
        <v>13</v>
      </c>
      <c r="C821" s="13"/>
      <c r="D821" s="13"/>
      <c r="E821" s="13">
        <f>SUMIFS('Лист2'!C:C, 'Лист2'!A:A, A821, 'Лист2'!B:B, B821)</f>
        <v>16</v>
      </c>
      <c r="F821" s="19">
        <v>1050.0</v>
      </c>
      <c r="G821" s="19">
        <v>938.0</v>
      </c>
      <c r="H821" s="2">
        <f t="shared" si="1"/>
        <v>0</v>
      </c>
      <c r="I821" s="2">
        <f t="shared" si="2"/>
        <v>21</v>
      </c>
    </row>
    <row r="822" ht="14.25" customHeight="1">
      <c r="A822" s="18">
        <v>43971.0</v>
      </c>
      <c r="B822" s="13" t="s">
        <v>14</v>
      </c>
      <c r="C822" s="13"/>
      <c r="D822" s="13"/>
      <c r="E822" s="13">
        <f>SUMIFS('Лист2'!C:C, 'Лист2'!A:A, A822, 'Лист2'!B:B, B822)</f>
        <v>15</v>
      </c>
      <c r="F822" s="19">
        <v>760.0</v>
      </c>
      <c r="G822" s="19">
        <v>664.0</v>
      </c>
      <c r="H822" s="2">
        <f t="shared" si="1"/>
        <v>0</v>
      </c>
      <c r="I822" s="2">
        <f t="shared" si="2"/>
        <v>21</v>
      </c>
    </row>
    <row r="823" ht="14.25" customHeight="1">
      <c r="A823" s="18">
        <v>43971.0</v>
      </c>
      <c r="B823" s="13" t="s">
        <v>16</v>
      </c>
      <c r="C823" s="13"/>
      <c r="D823" s="13"/>
      <c r="E823" s="13">
        <f>SUMIFS('Лист2'!C:C, 'Лист2'!A:A, A823, 'Лист2'!B:B, B823)</f>
        <v>125</v>
      </c>
      <c r="F823" s="19">
        <v>21674.0</v>
      </c>
      <c r="G823" s="19">
        <v>20155.0</v>
      </c>
      <c r="H823" s="2">
        <f t="shared" si="1"/>
        <v>0</v>
      </c>
      <c r="I823" s="2">
        <f t="shared" si="2"/>
        <v>21</v>
      </c>
    </row>
    <row r="824" ht="14.25" customHeight="1">
      <c r="A824" s="18">
        <v>43971.0</v>
      </c>
      <c r="B824" s="13" t="s">
        <v>17</v>
      </c>
      <c r="C824" s="13"/>
      <c r="D824" s="13"/>
      <c r="E824" s="13">
        <f>SUMIFS('Лист2'!C:C, 'Лист2'!A:A, A824, 'Лист2'!B:B, B824)</f>
        <v>129</v>
      </c>
      <c r="F824" s="19">
        <v>17095.0</v>
      </c>
      <c r="G824" s="19">
        <v>15919.0</v>
      </c>
      <c r="H824" s="2">
        <f t="shared" si="1"/>
        <v>0</v>
      </c>
      <c r="I824" s="2">
        <f t="shared" si="2"/>
        <v>21</v>
      </c>
    </row>
    <row r="825" ht="14.25" customHeight="1">
      <c r="A825" s="18">
        <v>43971.0</v>
      </c>
      <c r="B825" s="13" t="s">
        <v>18</v>
      </c>
      <c r="C825" s="13"/>
      <c r="D825" s="13"/>
      <c r="E825" s="13">
        <f>SUMIFS('Лист2'!C:C, 'Лист2'!A:A, A825, 'Лист2'!B:B, B825)</f>
        <v>10</v>
      </c>
      <c r="F825" s="19">
        <v>745.0</v>
      </c>
      <c r="G825" s="19">
        <v>654.0</v>
      </c>
      <c r="H825" s="2">
        <f t="shared" si="1"/>
        <v>0</v>
      </c>
      <c r="I825" s="2">
        <f t="shared" si="2"/>
        <v>21</v>
      </c>
    </row>
    <row r="826" ht="14.25" customHeight="1">
      <c r="A826" s="18">
        <v>43972.0</v>
      </c>
      <c r="B826" s="13" t="s">
        <v>4</v>
      </c>
      <c r="C826" s="13"/>
      <c r="D826" s="13"/>
      <c r="E826" s="13">
        <f>SUMIFS('Лист2'!C:C, 'Лист2'!A:A, A826, 'Лист2'!B:B, B826)</f>
        <v>36</v>
      </c>
      <c r="F826" s="19">
        <v>4816.0</v>
      </c>
      <c r="G826" s="19">
        <v>4452.0</v>
      </c>
      <c r="H826" s="2">
        <f t="shared" si="1"/>
        <v>0</v>
      </c>
      <c r="I826" s="2">
        <f t="shared" si="2"/>
        <v>21</v>
      </c>
    </row>
    <row r="827" ht="14.25" customHeight="1">
      <c r="A827" s="18">
        <v>43972.0</v>
      </c>
      <c r="B827" s="13" t="s">
        <v>5</v>
      </c>
      <c r="C827" s="13"/>
      <c r="D827" s="13"/>
      <c r="E827" s="13">
        <f>SUMIFS('Лист2'!C:C, 'Лист2'!A:A, A827, 'Лист2'!B:B, B827)</f>
        <v>31</v>
      </c>
      <c r="F827" s="19">
        <v>5207.0</v>
      </c>
      <c r="G827" s="19">
        <v>4868.0</v>
      </c>
      <c r="H827" s="2">
        <f t="shared" si="1"/>
        <v>0</v>
      </c>
      <c r="I827" s="2">
        <f t="shared" si="2"/>
        <v>21</v>
      </c>
    </row>
    <row r="828" ht="14.25" customHeight="1">
      <c r="A828" s="18">
        <v>43972.0</v>
      </c>
      <c r="B828" s="13" t="s">
        <v>6</v>
      </c>
      <c r="C828" s="13"/>
      <c r="D828" s="13"/>
      <c r="E828" s="13">
        <f>SUMIFS('Лист2'!C:C, 'Лист2'!A:A, A828, 'Лист2'!B:B, B828)</f>
        <v>21</v>
      </c>
      <c r="F828" s="19">
        <v>2335.0</v>
      </c>
      <c r="G828" s="19">
        <v>2126.0</v>
      </c>
      <c r="H828" s="2">
        <f t="shared" si="1"/>
        <v>0</v>
      </c>
      <c r="I828" s="2">
        <f t="shared" si="2"/>
        <v>21</v>
      </c>
    </row>
    <row r="829" ht="14.25" customHeight="1">
      <c r="A829" s="18">
        <v>43972.0</v>
      </c>
      <c r="B829" s="13" t="s">
        <v>7</v>
      </c>
      <c r="C829" s="13"/>
      <c r="D829" s="13"/>
      <c r="E829" s="13">
        <f>SUMIFS('Лист2'!C:C, 'Лист2'!A:A, A829, 'Лист2'!B:B, B829)</f>
        <v>21</v>
      </c>
      <c r="F829" s="19">
        <v>1787.0</v>
      </c>
      <c r="G829" s="19">
        <v>1626.0</v>
      </c>
      <c r="H829" s="2">
        <f t="shared" si="1"/>
        <v>0</v>
      </c>
      <c r="I829" s="2">
        <f t="shared" si="2"/>
        <v>21</v>
      </c>
    </row>
    <row r="830" ht="14.25" customHeight="1">
      <c r="A830" s="18">
        <v>43972.0</v>
      </c>
      <c r="B830" s="13" t="s">
        <v>8</v>
      </c>
      <c r="C830" s="13"/>
      <c r="D830" s="13"/>
      <c r="E830" s="13">
        <f>SUMIFS('Лист2'!C:C, 'Лист2'!A:A, A830, 'Лист2'!B:B, B830)</f>
        <v>19</v>
      </c>
      <c r="F830" s="19">
        <v>1650.0</v>
      </c>
      <c r="G830" s="19">
        <v>1505.0</v>
      </c>
      <c r="H830" s="2">
        <f t="shared" si="1"/>
        <v>0</v>
      </c>
      <c r="I830" s="2">
        <f t="shared" si="2"/>
        <v>21</v>
      </c>
    </row>
    <row r="831" ht="14.25" customHeight="1">
      <c r="A831" s="18">
        <v>43972.0</v>
      </c>
      <c r="B831" s="13" t="s">
        <v>9</v>
      </c>
      <c r="C831" s="13"/>
      <c r="D831" s="13"/>
      <c r="E831" s="13">
        <f>SUMIFS('Лист2'!C:C, 'Лист2'!A:A, A831, 'Лист2'!B:B, B831)</f>
        <v>54</v>
      </c>
      <c r="F831" s="19">
        <v>13240.0</v>
      </c>
      <c r="G831" s="19">
        <v>12360.0</v>
      </c>
      <c r="H831" s="2">
        <f t="shared" si="1"/>
        <v>0</v>
      </c>
      <c r="I831" s="2">
        <f t="shared" si="2"/>
        <v>21</v>
      </c>
    </row>
    <row r="832" ht="14.25" customHeight="1">
      <c r="A832" s="18">
        <v>43972.0</v>
      </c>
      <c r="B832" s="13" t="s">
        <v>10</v>
      </c>
      <c r="C832" s="13"/>
      <c r="D832" s="13"/>
      <c r="E832" s="13">
        <f>SUMIFS('Лист2'!C:C, 'Лист2'!A:A, A832, 'Лист2'!B:B, B832)</f>
        <v>60</v>
      </c>
      <c r="F832" s="19">
        <v>14005.0</v>
      </c>
      <c r="G832" s="19">
        <v>13002.0</v>
      </c>
      <c r="H832" s="2">
        <f t="shared" si="1"/>
        <v>0</v>
      </c>
      <c r="I832" s="2">
        <f t="shared" si="2"/>
        <v>21</v>
      </c>
    </row>
    <row r="833" ht="14.25" customHeight="1">
      <c r="A833" s="18">
        <v>43972.0</v>
      </c>
      <c r="B833" s="13" t="s">
        <v>11</v>
      </c>
      <c r="C833" s="13"/>
      <c r="D833" s="13"/>
      <c r="E833" s="13">
        <f>SUMIFS('Лист2'!C:C, 'Лист2'!A:A, A833, 'Лист2'!B:B, B833)</f>
        <v>19</v>
      </c>
      <c r="F833" s="19">
        <v>1949.0</v>
      </c>
      <c r="G833" s="19">
        <v>1724.0</v>
      </c>
      <c r="H833" s="2">
        <f t="shared" si="1"/>
        <v>0</v>
      </c>
      <c r="I833" s="2">
        <f t="shared" si="2"/>
        <v>21</v>
      </c>
    </row>
    <row r="834" ht="14.25" customHeight="1">
      <c r="A834" s="18">
        <v>43972.0</v>
      </c>
      <c r="B834" s="13" t="s">
        <v>12</v>
      </c>
      <c r="C834" s="13"/>
      <c r="D834" s="13"/>
      <c r="E834" s="13">
        <f>SUMIFS('Лист2'!C:C, 'Лист2'!A:A, A834, 'Лист2'!B:B, B834)</f>
        <v>18</v>
      </c>
      <c r="F834" s="19">
        <v>888.0</v>
      </c>
      <c r="G834" s="19">
        <v>786.0</v>
      </c>
      <c r="H834" s="2">
        <f t="shared" si="1"/>
        <v>0</v>
      </c>
      <c r="I834" s="2">
        <f t="shared" si="2"/>
        <v>21</v>
      </c>
    </row>
    <row r="835" ht="14.25" customHeight="1">
      <c r="A835" s="18">
        <v>43972.0</v>
      </c>
      <c r="B835" s="13" t="s">
        <v>13</v>
      </c>
      <c r="C835" s="13"/>
      <c r="D835" s="13"/>
      <c r="E835" s="13">
        <f>SUMIFS('Лист2'!C:C, 'Лист2'!A:A, A835, 'Лист2'!B:B, B835)</f>
        <v>17</v>
      </c>
      <c r="F835" s="19">
        <v>1045.0</v>
      </c>
      <c r="G835" s="19">
        <v>930.0</v>
      </c>
      <c r="H835" s="2">
        <f t="shared" si="1"/>
        <v>0</v>
      </c>
      <c r="I835" s="2">
        <f t="shared" si="2"/>
        <v>21</v>
      </c>
    </row>
    <row r="836" ht="14.25" customHeight="1">
      <c r="A836" s="18">
        <v>43972.0</v>
      </c>
      <c r="B836" s="13" t="s">
        <v>14</v>
      </c>
      <c r="C836" s="13"/>
      <c r="D836" s="13"/>
      <c r="E836" s="13">
        <f>SUMIFS('Лист2'!C:C, 'Лист2'!A:A, A836, 'Лист2'!B:B, B836)</f>
        <v>15</v>
      </c>
      <c r="F836" s="19">
        <v>749.0</v>
      </c>
      <c r="G836" s="19">
        <v>652.0</v>
      </c>
      <c r="H836" s="2">
        <f t="shared" si="1"/>
        <v>0</v>
      </c>
      <c r="I836" s="2">
        <f t="shared" si="2"/>
        <v>21</v>
      </c>
    </row>
    <row r="837" ht="14.25" customHeight="1">
      <c r="A837" s="18">
        <v>43972.0</v>
      </c>
      <c r="B837" s="13" t="s">
        <v>16</v>
      </c>
      <c r="C837" s="13"/>
      <c r="D837" s="13"/>
      <c r="E837" s="13">
        <f>SUMIFS('Лист2'!C:C, 'Лист2'!A:A, A837, 'Лист2'!B:B, B837)</f>
        <v>125</v>
      </c>
      <c r="F837" s="19">
        <v>20911.0</v>
      </c>
      <c r="G837" s="19">
        <v>19358.0</v>
      </c>
      <c r="H837" s="2">
        <f t="shared" si="1"/>
        <v>0</v>
      </c>
      <c r="I837" s="2">
        <f t="shared" si="2"/>
        <v>21</v>
      </c>
    </row>
    <row r="838" ht="14.25" customHeight="1">
      <c r="A838" s="18">
        <v>43972.0</v>
      </c>
      <c r="B838" s="13" t="s">
        <v>17</v>
      </c>
      <c r="C838" s="13"/>
      <c r="D838" s="13"/>
      <c r="E838" s="13">
        <f>SUMIFS('Лист2'!C:C, 'Лист2'!A:A, A838, 'Лист2'!B:B, B838)</f>
        <v>129</v>
      </c>
      <c r="F838" s="19">
        <v>16373.0</v>
      </c>
      <c r="G838" s="19">
        <v>15223.0</v>
      </c>
      <c r="H838" s="2">
        <f t="shared" si="1"/>
        <v>0</v>
      </c>
      <c r="I838" s="2">
        <f t="shared" si="2"/>
        <v>21</v>
      </c>
    </row>
    <row r="839" ht="14.25" customHeight="1">
      <c r="A839" s="18">
        <v>43972.0</v>
      </c>
      <c r="B839" s="13" t="s">
        <v>18</v>
      </c>
      <c r="C839" s="13"/>
      <c r="D839" s="13"/>
      <c r="E839" s="13">
        <f>SUMIFS('Лист2'!C:C, 'Лист2'!A:A, A839, 'Лист2'!B:B, B839)</f>
        <v>10</v>
      </c>
      <c r="F839" s="19">
        <v>677.0</v>
      </c>
      <c r="G839" s="19">
        <v>591.0</v>
      </c>
      <c r="H839" s="2">
        <f t="shared" si="1"/>
        <v>0</v>
      </c>
      <c r="I839" s="2">
        <f t="shared" si="2"/>
        <v>21</v>
      </c>
    </row>
    <row r="840" ht="14.25" customHeight="1">
      <c r="A840" s="18">
        <v>43973.0</v>
      </c>
      <c r="B840" s="13" t="s">
        <v>4</v>
      </c>
      <c r="C840" s="13"/>
      <c r="D840" s="13"/>
      <c r="E840" s="13">
        <f>SUMIFS('Лист2'!C:C, 'Лист2'!A:A, A840, 'Лист2'!B:B, B840)</f>
        <v>36</v>
      </c>
      <c r="F840" s="19">
        <v>4857.0</v>
      </c>
      <c r="G840" s="19">
        <v>4456.0</v>
      </c>
      <c r="H840" s="2">
        <f t="shared" si="1"/>
        <v>0</v>
      </c>
      <c r="I840" s="2">
        <f t="shared" si="2"/>
        <v>21</v>
      </c>
    </row>
    <row r="841" ht="14.25" customHeight="1">
      <c r="A841" s="18">
        <v>43973.0</v>
      </c>
      <c r="B841" s="13" t="s">
        <v>5</v>
      </c>
      <c r="C841" s="13"/>
      <c r="D841" s="13"/>
      <c r="E841" s="13">
        <f>SUMIFS('Лист2'!C:C, 'Лист2'!A:A, A841, 'Лист2'!B:B, B841)</f>
        <v>31</v>
      </c>
      <c r="F841" s="19">
        <v>5965.0</v>
      </c>
      <c r="G841" s="19">
        <v>5533.0</v>
      </c>
      <c r="H841" s="2">
        <f t="shared" si="1"/>
        <v>0</v>
      </c>
      <c r="I841" s="2">
        <f t="shared" si="2"/>
        <v>21</v>
      </c>
    </row>
    <row r="842" ht="14.25" customHeight="1">
      <c r="A842" s="18">
        <v>43973.0</v>
      </c>
      <c r="B842" s="13" t="s">
        <v>6</v>
      </c>
      <c r="C842" s="13"/>
      <c r="D842" s="13"/>
      <c r="E842" s="13">
        <f>SUMIFS('Лист2'!C:C, 'Лист2'!A:A, A842, 'Лист2'!B:B, B842)</f>
        <v>21</v>
      </c>
      <c r="F842" s="19">
        <v>2861.0</v>
      </c>
      <c r="G842" s="19">
        <v>2612.0</v>
      </c>
      <c r="H842" s="2">
        <f t="shared" si="1"/>
        <v>0</v>
      </c>
      <c r="I842" s="2">
        <f t="shared" si="2"/>
        <v>21</v>
      </c>
    </row>
    <row r="843" ht="14.25" customHeight="1">
      <c r="A843" s="18">
        <v>43973.0</v>
      </c>
      <c r="B843" s="13" t="s">
        <v>7</v>
      </c>
      <c r="C843" s="13"/>
      <c r="D843" s="13"/>
      <c r="E843" s="13">
        <f>SUMIFS('Лист2'!C:C, 'Лист2'!A:A, A843, 'Лист2'!B:B, B843)</f>
        <v>21</v>
      </c>
      <c r="F843" s="19">
        <v>2046.0</v>
      </c>
      <c r="G843" s="19">
        <v>1853.0</v>
      </c>
      <c r="H843" s="2">
        <f t="shared" si="1"/>
        <v>0</v>
      </c>
      <c r="I843" s="2">
        <f t="shared" si="2"/>
        <v>21</v>
      </c>
    </row>
    <row r="844" ht="14.25" customHeight="1">
      <c r="A844" s="18">
        <v>43973.0</v>
      </c>
      <c r="B844" s="13" t="s">
        <v>8</v>
      </c>
      <c r="C844" s="13"/>
      <c r="D844" s="13"/>
      <c r="E844" s="13">
        <f>SUMIFS('Лист2'!C:C, 'Лист2'!A:A, A844, 'Лист2'!B:B, B844)</f>
        <v>19</v>
      </c>
      <c r="F844" s="19">
        <v>1859.0</v>
      </c>
      <c r="G844" s="19">
        <v>1697.0</v>
      </c>
      <c r="H844" s="2">
        <f t="shared" si="1"/>
        <v>0</v>
      </c>
      <c r="I844" s="2">
        <f t="shared" si="2"/>
        <v>21</v>
      </c>
    </row>
    <row r="845" ht="14.25" customHeight="1">
      <c r="A845" s="18">
        <v>43973.0</v>
      </c>
      <c r="B845" s="13" t="s">
        <v>9</v>
      </c>
      <c r="C845" s="13"/>
      <c r="D845" s="13"/>
      <c r="E845" s="13">
        <f>SUMIFS('Лист2'!C:C, 'Лист2'!A:A, A845, 'Лист2'!B:B, B845)</f>
        <v>54</v>
      </c>
      <c r="F845" s="19">
        <v>13014.0</v>
      </c>
      <c r="G845" s="19">
        <v>12095.0</v>
      </c>
      <c r="H845" s="2">
        <f t="shared" si="1"/>
        <v>0</v>
      </c>
      <c r="I845" s="2">
        <f t="shared" si="2"/>
        <v>21</v>
      </c>
    </row>
    <row r="846" ht="14.25" customHeight="1">
      <c r="A846" s="18">
        <v>43973.0</v>
      </c>
      <c r="B846" s="13" t="s">
        <v>10</v>
      </c>
      <c r="C846" s="13"/>
      <c r="D846" s="13"/>
      <c r="E846" s="13">
        <f>SUMIFS('Лист2'!C:C, 'Лист2'!A:A, A846, 'Лист2'!B:B, B846)</f>
        <v>60</v>
      </c>
      <c r="F846" s="19">
        <v>14050.0</v>
      </c>
      <c r="G846" s="19">
        <v>13027.0</v>
      </c>
      <c r="H846" s="2">
        <f t="shared" si="1"/>
        <v>0</v>
      </c>
      <c r="I846" s="2">
        <f t="shared" si="2"/>
        <v>21</v>
      </c>
    </row>
    <row r="847" ht="14.25" customHeight="1">
      <c r="A847" s="18">
        <v>43973.0</v>
      </c>
      <c r="B847" s="13" t="s">
        <v>11</v>
      </c>
      <c r="C847" s="13"/>
      <c r="D847" s="13"/>
      <c r="E847" s="13">
        <f>SUMIFS('Лист2'!C:C, 'Лист2'!A:A, A847, 'Лист2'!B:B, B847)</f>
        <v>20</v>
      </c>
      <c r="F847" s="19">
        <v>2306.0</v>
      </c>
      <c r="G847" s="19">
        <v>2054.0</v>
      </c>
      <c r="H847" s="2">
        <f t="shared" si="1"/>
        <v>0</v>
      </c>
      <c r="I847" s="2">
        <f t="shared" si="2"/>
        <v>21</v>
      </c>
    </row>
    <row r="848" ht="14.25" customHeight="1">
      <c r="A848" s="18">
        <v>43973.0</v>
      </c>
      <c r="B848" s="13" t="s">
        <v>12</v>
      </c>
      <c r="C848" s="13"/>
      <c r="D848" s="13"/>
      <c r="E848" s="13">
        <f>SUMIFS('Лист2'!C:C, 'Лист2'!A:A, A848, 'Лист2'!B:B, B848)</f>
        <v>18</v>
      </c>
      <c r="F848" s="19">
        <v>985.0</v>
      </c>
      <c r="G848" s="19">
        <v>861.0</v>
      </c>
      <c r="H848" s="2">
        <f t="shared" si="1"/>
        <v>0</v>
      </c>
      <c r="I848" s="2">
        <f t="shared" si="2"/>
        <v>21</v>
      </c>
    </row>
    <row r="849" ht="14.25" customHeight="1">
      <c r="A849" s="18">
        <v>43973.0</v>
      </c>
      <c r="B849" s="13" t="s">
        <v>13</v>
      </c>
      <c r="C849" s="13"/>
      <c r="D849" s="13"/>
      <c r="E849" s="13">
        <f>SUMIFS('Лист2'!C:C, 'Лист2'!A:A, A849, 'Лист2'!B:B, B849)</f>
        <v>17</v>
      </c>
      <c r="F849" s="19">
        <v>1268.0</v>
      </c>
      <c r="G849" s="19">
        <v>1129.0</v>
      </c>
      <c r="H849" s="2">
        <f t="shared" si="1"/>
        <v>0</v>
      </c>
      <c r="I849" s="2">
        <f t="shared" si="2"/>
        <v>21</v>
      </c>
    </row>
    <row r="850" ht="14.25" customHeight="1">
      <c r="A850" s="18">
        <v>43973.0</v>
      </c>
      <c r="B850" s="13" t="s">
        <v>14</v>
      </c>
      <c r="C850" s="13"/>
      <c r="D850" s="13"/>
      <c r="E850" s="13">
        <f>SUMIFS('Лист2'!C:C, 'Лист2'!A:A, A850, 'Лист2'!B:B, B850)</f>
        <v>15</v>
      </c>
      <c r="F850" s="19">
        <v>903.0</v>
      </c>
      <c r="G850" s="19">
        <v>792.0</v>
      </c>
      <c r="H850" s="2">
        <f t="shared" si="1"/>
        <v>0</v>
      </c>
      <c r="I850" s="2">
        <f t="shared" si="2"/>
        <v>21</v>
      </c>
    </row>
    <row r="851" ht="14.25" customHeight="1">
      <c r="A851" s="18">
        <v>43973.0</v>
      </c>
      <c r="B851" s="13" t="s">
        <v>16</v>
      </c>
      <c r="C851" s="13"/>
      <c r="D851" s="13"/>
      <c r="E851" s="13">
        <f>SUMIFS('Лист2'!C:C, 'Лист2'!A:A, A851, 'Лист2'!B:B, B851)</f>
        <v>125</v>
      </c>
      <c r="F851" s="19">
        <v>21427.0</v>
      </c>
      <c r="G851" s="19">
        <v>19799.0</v>
      </c>
      <c r="H851" s="2">
        <f t="shared" si="1"/>
        <v>0</v>
      </c>
      <c r="I851" s="2">
        <f t="shared" si="2"/>
        <v>21</v>
      </c>
    </row>
    <row r="852" ht="14.25" customHeight="1">
      <c r="A852" s="18">
        <v>43973.0</v>
      </c>
      <c r="B852" s="13" t="s">
        <v>17</v>
      </c>
      <c r="C852" s="13"/>
      <c r="D852" s="13"/>
      <c r="E852" s="13">
        <f>SUMIFS('Лист2'!C:C, 'Лист2'!A:A, A852, 'Лист2'!B:B, B852)</f>
        <v>129</v>
      </c>
      <c r="F852" s="19">
        <v>17088.0</v>
      </c>
      <c r="G852" s="19">
        <v>15804.0</v>
      </c>
      <c r="H852" s="2">
        <f t="shared" si="1"/>
        <v>0</v>
      </c>
      <c r="I852" s="2">
        <f t="shared" si="2"/>
        <v>21</v>
      </c>
    </row>
    <row r="853" ht="14.25" customHeight="1">
      <c r="A853" s="18">
        <v>43973.0</v>
      </c>
      <c r="B853" s="13" t="s">
        <v>18</v>
      </c>
      <c r="C853" s="13"/>
      <c r="D853" s="13"/>
      <c r="E853" s="13">
        <f>SUMIFS('Лист2'!C:C, 'Лист2'!A:A, A853, 'Лист2'!B:B, B853)</f>
        <v>10</v>
      </c>
      <c r="F853" s="19">
        <v>965.0</v>
      </c>
      <c r="G853" s="19">
        <v>861.0</v>
      </c>
      <c r="H853" s="2">
        <f t="shared" si="1"/>
        <v>0</v>
      </c>
      <c r="I853" s="2">
        <f t="shared" si="2"/>
        <v>21</v>
      </c>
    </row>
    <row r="854" ht="14.25" customHeight="1">
      <c r="A854" s="18">
        <v>43974.0</v>
      </c>
      <c r="B854" s="13" t="s">
        <v>4</v>
      </c>
      <c r="C854" s="13"/>
      <c r="D854" s="13"/>
      <c r="E854" s="13">
        <f>SUMIFS('Лист2'!C:C, 'Лист2'!A:A, A854, 'Лист2'!B:B, B854)</f>
        <v>36</v>
      </c>
      <c r="F854" s="19">
        <v>5651.0</v>
      </c>
      <c r="G854" s="19">
        <v>5212.0</v>
      </c>
      <c r="H854" s="2">
        <f t="shared" si="1"/>
        <v>0</v>
      </c>
      <c r="I854" s="2">
        <f t="shared" si="2"/>
        <v>21</v>
      </c>
    </row>
    <row r="855" ht="14.25" customHeight="1">
      <c r="A855" s="18">
        <v>43974.0</v>
      </c>
      <c r="B855" s="13" t="s">
        <v>5</v>
      </c>
      <c r="C855" s="13"/>
      <c r="D855" s="13"/>
      <c r="E855" s="13">
        <f>SUMIFS('Лист2'!C:C, 'Лист2'!A:A, A855, 'Лист2'!B:B, B855)</f>
        <v>31</v>
      </c>
      <c r="F855" s="19">
        <v>6276.0</v>
      </c>
      <c r="G855" s="19">
        <v>5801.0</v>
      </c>
      <c r="H855" s="2">
        <f t="shared" si="1"/>
        <v>0</v>
      </c>
      <c r="I855" s="2">
        <f t="shared" si="2"/>
        <v>21</v>
      </c>
    </row>
    <row r="856" ht="14.25" customHeight="1">
      <c r="A856" s="18">
        <v>43974.0</v>
      </c>
      <c r="B856" s="13" t="s">
        <v>6</v>
      </c>
      <c r="C856" s="13"/>
      <c r="D856" s="13"/>
      <c r="E856" s="13">
        <f>SUMIFS('Лист2'!C:C, 'Лист2'!A:A, A856, 'Лист2'!B:B, B856)</f>
        <v>21</v>
      </c>
      <c r="F856" s="19">
        <v>2460.0</v>
      </c>
      <c r="G856" s="19">
        <v>2226.0</v>
      </c>
      <c r="H856" s="2">
        <f t="shared" si="1"/>
        <v>0</v>
      </c>
      <c r="I856" s="2">
        <f t="shared" si="2"/>
        <v>21</v>
      </c>
    </row>
    <row r="857" ht="14.25" customHeight="1">
      <c r="A857" s="18">
        <v>43974.0</v>
      </c>
      <c r="B857" s="13" t="s">
        <v>7</v>
      </c>
      <c r="C857" s="13"/>
      <c r="D857" s="13"/>
      <c r="E857" s="13">
        <f>SUMIFS('Лист2'!C:C, 'Лист2'!A:A, A857, 'Лист2'!B:B, B857)</f>
        <v>21</v>
      </c>
      <c r="F857" s="19">
        <v>2340.0</v>
      </c>
      <c r="G857" s="19">
        <v>2146.0</v>
      </c>
      <c r="H857" s="2">
        <f t="shared" si="1"/>
        <v>0</v>
      </c>
      <c r="I857" s="2">
        <f t="shared" si="2"/>
        <v>21</v>
      </c>
    </row>
    <row r="858" ht="14.25" customHeight="1">
      <c r="A858" s="18">
        <v>43974.0</v>
      </c>
      <c r="B858" s="13" t="s">
        <v>8</v>
      </c>
      <c r="C858" s="13"/>
      <c r="D858" s="13"/>
      <c r="E858" s="13">
        <f>SUMIFS('Лист2'!C:C, 'Лист2'!A:A, A858, 'Лист2'!B:B, B858)</f>
        <v>19</v>
      </c>
      <c r="F858" s="19">
        <v>2195.0</v>
      </c>
      <c r="G858" s="19">
        <v>1999.0</v>
      </c>
      <c r="H858" s="2">
        <f t="shared" si="1"/>
        <v>0</v>
      </c>
      <c r="I858" s="2">
        <f t="shared" si="2"/>
        <v>21</v>
      </c>
    </row>
    <row r="859" ht="14.25" customHeight="1">
      <c r="A859" s="18">
        <v>43974.0</v>
      </c>
      <c r="B859" s="13" t="s">
        <v>9</v>
      </c>
      <c r="C859" s="13"/>
      <c r="D859" s="13"/>
      <c r="E859" s="13">
        <f>SUMIFS('Лист2'!C:C, 'Лист2'!A:A, A859, 'Лист2'!B:B, B859)</f>
        <v>54</v>
      </c>
      <c r="F859" s="19">
        <v>16221.0</v>
      </c>
      <c r="G859" s="19">
        <v>15065.0</v>
      </c>
      <c r="H859" s="2">
        <f t="shared" si="1"/>
        <v>0</v>
      </c>
      <c r="I859" s="2">
        <f t="shared" si="2"/>
        <v>21</v>
      </c>
    </row>
    <row r="860" ht="14.25" customHeight="1">
      <c r="A860" s="18">
        <v>43974.0</v>
      </c>
      <c r="B860" s="13" t="s">
        <v>10</v>
      </c>
      <c r="C860" s="13"/>
      <c r="D860" s="13"/>
      <c r="E860" s="13">
        <f>SUMIFS('Лист2'!C:C, 'Лист2'!A:A, A860, 'Лист2'!B:B, B860)</f>
        <v>60</v>
      </c>
      <c r="F860" s="19">
        <v>17295.0</v>
      </c>
      <c r="G860" s="19">
        <v>16010.0</v>
      </c>
      <c r="H860" s="2">
        <f t="shared" si="1"/>
        <v>0</v>
      </c>
      <c r="I860" s="2">
        <f t="shared" si="2"/>
        <v>21</v>
      </c>
    </row>
    <row r="861" ht="14.25" customHeight="1">
      <c r="A861" s="18">
        <v>43974.0</v>
      </c>
      <c r="B861" s="13" t="s">
        <v>11</v>
      </c>
      <c r="C861" s="13"/>
      <c r="D861" s="13"/>
      <c r="E861" s="13">
        <f>SUMIFS('Лист2'!C:C, 'Лист2'!A:A, A861, 'Лист2'!B:B, B861)</f>
        <v>20</v>
      </c>
      <c r="F861" s="19">
        <v>2266.0</v>
      </c>
      <c r="G861" s="19">
        <v>1993.0</v>
      </c>
      <c r="H861" s="2">
        <f t="shared" si="1"/>
        <v>0</v>
      </c>
      <c r="I861" s="2">
        <f t="shared" si="2"/>
        <v>21</v>
      </c>
    </row>
    <row r="862" ht="14.25" customHeight="1">
      <c r="A862" s="18">
        <v>43974.0</v>
      </c>
      <c r="B862" s="13" t="s">
        <v>12</v>
      </c>
      <c r="C862" s="13"/>
      <c r="D862" s="13"/>
      <c r="E862" s="13">
        <f>SUMIFS('Лист2'!C:C, 'Лист2'!A:A, A862, 'Лист2'!B:B, B862)</f>
        <v>18</v>
      </c>
      <c r="F862" s="19">
        <v>1031.0</v>
      </c>
      <c r="G862" s="19">
        <v>918.0</v>
      </c>
      <c r="H862" s="2">
        <f t="shared" si="1"/>
        <v>0</v>
      </c>
      <c r="I862" s="2">
        <f t="shared" si="2"/>
        <v>21</v>
      </c>
    </row>
    <row r="863" ht="14.25" customHeight="1">
      <c r="A863" s="18">
        <v>43974.0</v>
      </c>
      <c r="B863" s="13" t="s">
        <v>13</v>
      </c>
      <c r="C863" s="13"/>
      <c r="D863" s="13"/>
      <c r="E863" s="13">
        <f>SUMIFS('Лист2'!C:C, 'Лист2'!A:A, A863, 'Лист2'!B:B, B863)</f>
        <v>17</v>
      </c>
      <c r="F863" s="19">
        <v>1294.0</v>
      </c>
      <c r="G863" s="19">
        <v>1155.0</v>
      </c>
      <c r="H863" s="2">
        <f t="shared" si="1"/>
        <v>0</v>
      </c>
      <c r="I863" s="2">
        <f t="shared" si="2"/>
        <v>21</v>
      </c>
    </row>
    <row r="864" ht="14.25" customHeight="1">
      <c r="A864" s="18">
        <v>43974.0</v>
      </c>
      <c r="B864" s="13" t="s">
        <v>14</v>
      </c>
      <c r="C864" s="13"/>
      <c r="D864" s="13"/>
      <c r="E864" s="13">
        <f>SUMIFS('Лист2'!C:C, 'Лист2'!A:A, A864, 'Лист2'!B:B, B864)</f>
        <v>15</v>
      </c>
      <c r="F864" s="19">
        <v>840.0</v>
      </c>
      <c r="G864" s="19">
        <v>725.0</v>
      </c>
      <c r="H864" s="2">
        <f t="shared" si="1"/>
        <v>0</v>
      </c>
      <c r="I864" s="2">
        <f t="shared" si="2"/>
        <v>21</v>
      </c>
    </row>
    <row r="865" ht="14.25" customHeight="1">
      <c r="A865" s="18">
        <v>43974.0</v>
      </c>
      <c r="B865" s="13" t="s">
        <v>16</v>
      </c>
      <c r="C865" s="13"/>
      <c r="D865" s="13"/>
      <c r="E865" s="13">
        <f>SUMIFS('Лист2'!C:C, 'Лист2'!A:A, A865, 'Лист2'!B:B, B865)</f>
        <v>125</v>
      </c>
      <c r="F865" s="19">
        <v>24574.0</v>
      </c>
      <c r="G865" s="19">
        <v>22609.0</v>
      </c>
      <c r="H865" s="2">
        <f t="shared" si="1"/>
        <v>0</v>
      </c>
      <c r="I865" s="2">
        <f t="shared" si="2"/>
        <v>21</v>
      </c>
    </row>
    <row r="866" ht="14.25" customHeight="1">
      <c r="A866" s="18">
        <v>43974.0</v>
      </c>
      <c r="B866" s="13" t="s">
        <v>17</v>
      </c>
      <c r="C866" s="13"/>
      <c r="D866" s="13"/>
      <c r="E866" s="13">
        <f>SUMIFS('Лист2'!C:C, 'Лист2'!A:A, A866, 'Лист2'!B:B, B866)</f>
        <v>129</v>
      </c>
      <c r="F866" s="19">
        <v>19856.0</v>
      </c>
      <c r="G866" s="19">
        <v>18325.0</v>
      </c>
      <c r="H866" s="2">
        <f t="shared" si="1"/>
        <v>0</v>
      </c>
      <c r="I866" s="2">
        <f t="shared" si="2"/>
        <v>21</v>
      </c>
    </row>
    <row r="867" ht="14.25" customHeight="1">
      <c r="A867" s="18">
        <v>43974.0</v>
      </c>
      <c r="B867" s="13" t="s">
        <v>18</v>
      </c>
      <c r="C867" s="13"/>
      <c r="D867" s="13"/>
      <c r="E867" s="13">
        <f>SUMIFS('Лист2'!C:C, 'Лист2'!A:A, A867, 'Лист2'!B:B, B867)</f>
        <v>10</v>
      </c>
      <c r="F867" s="19">
        <v>828.0</v>
      </c>
      <c r="G867" s="19">
        <v>734.0</v>
      </c>
      <c r="H867" s="2">
        <f t="shared" si="1"/>
        <v>0</v>
      </c>
      <c r="I867" s="2">
        <f t="shared" si="2"/>
        <v>21</v>
      </c>
    </row>
    <row r="868" ht="14.25" customHeight="1">
      <c r="A868" s="18">
        <v>43975.0</v>
      </c>
      <c r="B868" s="13" t="s">
        <v>4</v>
      </c>
      <c r="C868" s="13"/>
      <c r="D868" s="13"/>
      <c r="E868" s="13">
        <f>SUMIFS('Лист2'!C:C, 'Лист2'!A:A, A868, 'Лист2'!B:B, B868)</f>
        <v>36</v>
      </c>
      <c r="F868" s="19">
        <v>4915.0</v>
      </c>
      <c r="G868" s="19">
        <v>4562.0</v>
      </c>
      <c r="H868" s="2">
        <f t="shared" si="1"/>
        <v>0</v>
      </c>
      <c r="I868" s="2">
        <f t="shared" si="2"/>
        <v>21</v>
      </c>
    </row>
    <row r="869" ht="14.25" customHeight="1">
      <c r="A869" s="18">
        <v>43975.0</v>
      </c>
      <c r="B869" s="13" t="s">
        <v>5</v>
      </c>
      <c r="C869" s="13"/>
      <c r="D869" s="13"/>
      <c r="E869" s="13">
        <f>SUMIFS('Лист2'!C:C, 'Лист2'!A:A, A869, 'Лист2'!B:B, B869)</f>
        <v>31</v>
      </c>
      <c r="F869" s="19">
        <v>5035.0</v>
      </c>
      <c r="G869" s="19">
        <v>4683.0</v>
      </c>
      <c r="H869" s="2">
        <f t="shared" si="1"/>
        <v>0</v>
      </c>
      <c r="I869" s="2">
        <f t="shared" si="2"/>
        <v>21</v>
      </c>
    </row>
    <row r="870" ht="14.25" customHeight="1">
      <c r="A870" s="18">
        <v>43975.0</v>
      </c>
      <c r="B870" s="13" t="s">
        <v>6</v>
      </c>
      <c r="C870" s="13"/>
      <c r="D870" s="13"/>
      <c r="E870" s="13">
        <f>SUMIFS('Лист2'!C:C, 'Лист2'!A:A, A870, 'Лист2'!B:B, B870)</f>
        <v>21</v>
      </c>
      <c r="F870" s="19">
        <v>2254.0</v>
      </c>
      <c r="G870" s="19">
        <v>2061.0</v>
      </c>
      <c r="H870" s="2">
        <f t="shared" si="1"/>
        <v>0</v>
      </c>
      <c r="I870" s="2">
        <f t="shared" si="2"/>
        <v>21</v>
      </c>
    </row>
    <row r="871" ht="14.25" customHeight="1">
      <c r="A871" s="18">
        <v>43975.0</v>
      </c>
      <c r="B871" s="13" t="s">
        <v>7</v>
      </c>
      <c r="C871" s="13"/>
      <c r="D871" s="13"/>
      <c r="E871" s="13">
        <f>SUMIFS('Лист2'!C:C, 'Лист2'!A:A, A871, 'Лист2'!B:B, B871)</f>
        <v>20</v>
      </c>
      <c r="F871" s="19">
        <v>1999.0</v>
      </c>
      <c r="G871" s="19">
        <v>1829.0</v>
      </c>
      <c r="H871" s="2">
        <f t="shared" si="1"/>
        <v>0</v>
      </c>
      <c r="I871" s="2">
        <f t="shared" si="2"/>
        <v>21</v>
      </c>
    </row>
    <row r="872" ht="14.25" customHeight="1">
      <c r="A872" s="18">
        <v>43975.0</v>
      </c>
      <c r="B872" s="13" t="s">
        <v>8</v>
      </c>
      <c r="C872" s="13"/>
      <c r="D872" s="13"/>
      <c r="E872" s="13">
        <f>SUMIFS('Лист2'!C:C, 'Лист2'!A:A, A872, 'Лист2'!B:B, B872)</f>
        <v>19</v>
      </c>
      <c r="F872" s="19">
        <v>1868.0</v>
      </c>
      <c r="G872" s="19">
        <v>1706.0</v>
      </c>
      <c r="H872" s="2">
        <f t="shared" si="1"/>
        <v>0</v>
      </c>
      <c r="I872" s="2">
        <f t="shared" si="2"/>
        <v>21</v>
      </c>
    </row>
    <row r="873" ht="14.25" customHeight="1">
      <c r="A873" s="18">
        <v>43975.0</v>
      </c>
      <c r="B873" s="13" t="s">
        <v>9</v>
      </c>
      <c r="C873" s="13"/>
      <c r="D873" s="13"/>
      <c r="E873" s="13">
        <f>SUMIFS('Лист2'!C:C, 'Лист2'!A:A, A873, 'Лист2'!B:B, B873)</f>
        <v>54</v>
      </c>
      <c r="F873" s="19">
        <v>12211.0</v>
      </c>
      <c r="G873" s="19">
        <v>11427.0</v>
      </c>
      <c r="H873" s="2">
        <f t="shared" si="1"/>
        <v>0</v>
      </c>
      <c r="I873" s="2">
        <f t="shared" si="2"/>
        <v>21</v>
      </c>
    </row>
    <row r="874" ht="14.25" customHeight="1">
      <c r="A874" s="18">
        <v>43975.0</v>
      </c>
      <c r="B874" s="13" t="s">
        <v>10</v>
      </c>
      <c r="C874" s="13"/>
      <c r="D874" s="13"/>
      <c r="E874" s="13">
        <f>SUMIFS('Лист2'!C:C, 'Лист2'!A:A, A874, 'Лист2'!B:B, B874)</f>
        <v>60</v>
      </c>
      <c r="F874" s="19">
        <v>12822.0</v>
      </c>
      <c r="G874" s="19">
        <v>11916.0</v>
      </c>
      <c r="H874" s="2">
        <f t="shared" si="1"/>
        <v>0</v>
      </c>
      <c r="I874" s="2">
        <f t="shared" si="2"/>
        <v>21</v>
      </c>
    </row>
    <row r="875" ht="14.25" customHeight="1">
      <c r="A875" s="18">
        <v>43975.0</v>
      </c>
      <c r="B875" s="13" t="s">
        <v>11</v>
      </c>
      <c r="C875" s="13"/>
      <c r="D875" s="13"/>
      <c r="E875" s="13">
        <f>SUMIFS('Лист2'!C:C, 'Лист2'!A:A, A875, 'Лист2'!B:B, B875)</f>
        <v>20</v>
      </c>
      <c r="F875" s="19">
        <v>2015.0</v>
      </c>
      <c r="G875" s="19">
        <v>1803.0</v>
      </c>
      <c r="H875" s="2">
        <f t="shared" si="1"/>
        <v>0</v>
      </c>
      <c r="I875" s="2">
        <f t="shared" si="2"/>
        <v>21</v>
      </c>
    </row>
    <row r="876" ht="14.25" customHeight="1">
      <c r="A876" s="18">
        <v>43975.0</v>
      </c>
      <c r="B876" s="13" t="s">
        <v>12</v>
      </c>
      <c r="C876" s="13"/>
      <c r="D876" s="13"/>
      <c r="E876" s="13">
        <f>SUMIFS('Лист2'!C:C, 'Лист2'!A:A, A876, 'Лист2'!B:B, B876)</f>
        <v>18</v>
      </c>
      <c r="F876" s="19">
        <v>1006.0</v>
      </c>
      <c r="G876" s="19">
        <v>904.0</v>
      </c>
      <c r="H876" s="2">
        <f t="shared" si="1"/>
        <v>0</v>
      </c>
      <c r="I876" s="2">
        <f t="shared" si="2"/>
        <v>21</v>
      </c>
    </row>
    <row r="877" ht="14.25" customHeight="1">
      <c r="A877" s="18">
        <v>43975.0</v>
      </c>
      <c r="B877" s="13" t="s">
        <v>13</v>
      </c>
      <c r="C877" s="13"/>
      <c r="D877" s="13"/>
      <c r="E877" s="13">
        <f>SUMIFS('Лист2'!C:C, 'Лист2'!A:A, A877, 'Лист2'!B:B, B877)</f>
        <v>17</v>
      </c>
      <c r="F877" s="19">
        <v>1128.0</v>
      </c>
      <c r="G877" s="19">
        <v>1001.0</v>
      </c>
      <c r="H877" s="2">
        <f t="shared" si="1"/>
        <v>0</v>
      </c>
      <c r="I877" s="2">
        <f t="shared" si="2"/>
        <v>21</v>
      </c>
    </row>
    <row r="878" ht="14.25" customHeight="1">
      <c r="A878" s="18">
        <v>43975.0</v>
      </c>
      <c r="B878" s="13" t="s">
        <v>14</v>
      </c>
      <c r="C878" s="13"/>
      <c r="D878" s="13"/>
      <c r="E878" s="13">
        <f>SUMIFS('Лист2'!C:C, 'Лист2'!A:A, A878, 'Лист2'!B:B, B878)</f>
        <v>15</v>
      </c>
      <c r="F878" s="19">
        <v>779.0</v>
      </c>
      <c r="G878" s="19">
        <v>673.0</v>
      </c>
      <c r="H878" s="2">
        <f t="shared" si="1"/>
        <v>0</v>
      </c>
      <c r="I878" s="2">
        <f t="shared" si="2"/>
        <v>21</v>
      </c>
    </row>
    <row r="879" ht="14.25" customHeight="1">
      <c r="A879" s="18">
        <v>43975.0</v>
      </c>
      <c r="B879" s="13" t="s">
        <v>16</v>
      </c>
      <c r="C879" s="13"/>
      <c r="D879" s="13"/>
      <c r="E879" s="13">
        <f>SUMIFS('Лист2'!C:C, 'Лист2'!A:A, A879, 'Лист2'!B:B, B879)</f>
        <v>125</v>
      </c>
      <c r="F879" s="19">
        <v>21004.0</v>
      </c>
      <c r="G879" s="19">
        <v>19556.0</v>
      </c>
      <c r="H879" s="2">
        <f t="shared" si="1"/>
        <v>0</v>
      </c>
      <c r="I879" s="2">
        <f t="shared" si="2"/>
        <v>21</v>
      </c>
    </row>
    <row r="880" ht="14.25" customHeight="1">
      <c r="A880" s="18">
        <v>43975.0</v>
      </c>
      <c r="B880" s="13" t="s">
        <v>17</v>
      </c>
      <c r="C880" s="13"/>
      <c r="D880" s="13"/>
      <c r="E880" s="13">
        <f>SUMIFS('Лист2'!C:C, 'Лист2'!A:A, A880, 'Лист2'!B:B, B880)</f>
        <v>129</v>
      </c>
      <c r="F880" s="19">
        <v>16432.0</v>
      </c>
      <c r="G880" s="19">
        <v>15345.0</v>
      </c>
      <c r="H880" s="2">
        <f t="shared" si="1"/>
        <v>0</v>
      </c>
      <c r="I880" s="2">
        <f t="shared" si="2"/>
        <v>21</v>
      </c>
    </row>
    <row r="881" ht="14.25" customHeight="1">
      <c r="A881" s="18">
        <v>43975.0</v>
      </c>
      <c r="B881" s="13" t="s">
        <v>18</v>
      </c>
      <c r="C881" s="13"/>
      <c r="D881" s="13"/>
      <c r="E881" s="13">
        <f>SUMIFS('Лист2'!C:C, 'Лист2'!A:A, A881, 'Лист2'!B:B, B881)</f>
        <v>10</v>
      </c>
      <c r="F881" s="19">
        <v>639.0</v>
      </c>
      <c r="G881" s="19">
        <v>557.0</v>
      </c>
      <c r="H881" s="2">
        <f t="shared" si="1"/>
        <v>0</v>
      </c>
      <c r="I881" s="2">
        <f t="shared" si="2"/>
        <v>21</v>
      </c>
    </row>
    <row r="882" ht="14.25" customHeight="1">
      <c r="A882" s="18">
        <v>43976.0</v>
      </c>
      <c r="B882" s="13" t="s">
        <v>4</v>
      </c>
      <c r="C882" s="13"/>
      <c r="D882" s="13"/>
      <c r="E882" s="13">
        <f>SUMIFS('Лист2'!C:C, 'Лист2'!A:A, A882, 'Лист2'!B:B, B882)</f>
        <v>36</v>
      </c>
      <c r="F882" s="19">
        <v>4641.0</v>
      </c>
      <c r="G882" s="19">
        <v>4274.0</v>
      </c>
      <c r="H882" s="2">
        <f t="shared" si="1"/>
        <v>0</v>
      </c>
      <c r="I882" s="2">
        <f t="shared" si="2"/>
        <v>22</v>
      </c>
    </row>
    <row r="883" ht="14.25" customHeight="1">
      <c r="A883" s="18">
        <v>43976.0</v>
      </c>
      <c r="B883" s="13" t="s">
        <v>5</v>
      </c>
      <c r="C883" s="13"/>
      <c r="D883" s="13"/>
      <c r="E883" s="13">
        <f>SUMIFS('Лист2'!C:C, 'Лист2'!A:A, A883, 'Лист2'!B:B, B883)</f>
        <v>31</v>
      </c>
      <c r="F883" s="19">
        <v>5210.0</v>
      </c>
      <c r="G883" s="19">
        <v>4841.0</v>
      </c>
      <c r="H883" s="2">
        <f t="shared" si="1"/>
        <v>0</v>
      </c>
      <c r="I883" s="2">
        <f t="shared" si="2"/>
        <v>22</v>
      </c>
    </row>
    <row r="884" ht="14.25" customHeight="1">
      <c r="A884" s="18">
        <v>43976.0</v>
      </c>
      <c r="B884" s="13" t="s">
        <v>6</v>
      </c>
      <c r="C884" s="13"/>
      <c r="D884" s="13"/>
      <c r="E884" s="13">
        <f>SUMIFS('Лист2'!C:C, 'Лист2'!A:A, A884, 'Лист2'!B:B, B884)</f>
        <v>21</v>
      </c>
      <c r="F884" s="19">
        <v>2330.0</v>
      </c>
      <c r="G884" s="19">
        <v>2142.0</v>
      </c>
      <c r="H884" s="2">
        <f t="shared" si="1"/>
        <v>0</v>
      </c>
      <c r="I884" s="2">
        <f t="shared" si="2"/>
        <v>22</v>
      </c>
    </row>
    <row r="885" ht="14.25" customHeight="1">
      <c r="A885" s="18">
        <v>43976.0</v>
      </c>
      <c r="B885" s="13" t="s">
        <v>7</v>
      </c>
      <c r="C885" s="13"/>
      <c r="D885" s="13"/>
      <c r="E885" s="13">
        <f>SUMIFS('Лист2'!C:C, 'Лист2'!A:A, A885, 'Лист2'!B:B, B885)</f>
        <v>20</v>
      </c>
      <c r="F885" s="19">
        <v>2087.0</v>
      </c>
      <c r="G885" s="19">
        <v>1914.0</v>
      </c>
      <c r="H885" s="2">
        <f t="shared" si="1"/>
        <v>0</v>
      </c>
      <c r="I885" s="2">
        <f t="shared" si="2"/>
        <v>22</v>
      </c>
    </row>
    <row r="886" ht="14.25" customHeight="1">
      <c r="A886" s="18">
        <v>43976.0</v>
      </c>
      <c r="B886" s="13" t="s">
        <v>8</v>
      </c>
      <c r="C886" s="13"/>
      <c r="D886" s="13"/>
      <c r="E886" s="13">
        <f>SUMIFS('Лист2'!C:C, 'Лист2'!A:A, A886, 'Лист2'!B:B, B886)</f>
        <v>20</v>
      </c>
      <c r="F886" s="19">
        <v>1899.0</v>
      </c>
      <c r="G886" s="19">
        <v>1738.0</v>
      </c>
      <c r="H886" s="2">
        <f t="shared" si="1"/>
        <v>0</v>
      </c>
      <c r="I886" s="2">
        <f t="shared" si="2"/>
        <v>22</v>
      </c>
    </row>
    <row r="887" ht="14.25" customHeight="1">
      <c r="A887" s="18">
        <v>43976.0</v>
      </c>
      <c r="B887" s="13" t="s">
        <v>9</v>
      </c>
      <c r="C887" s="13"/>
      <c r="D887" s="13"/>
      <c r="E887" s="13">
        <f>SUMIFS('Лист2'!C:C, 'Лист2'!A:A, A887, 'Лист2'!B:B, B887)</f>
        <v>54</v>
      </c>
      <c r="F887" s="19">
        <v>12336.0</v>
      </c>
      <c r="G887" s="19">
        <v>11519.0</v>
      </c>
      <c r="H887" s="2">
        <f t="shared" si="1"/>
        <v>0</v>
      </c>
      <c r="I887" s="2">
        <f t="shared" si="2"/>
        <v>22</v>
      </c>
    </row>
    <row r="888" ht="14.25" customHeight="1">
      <c r="A888" s="18">
        <v>43976.0</v>
      </c>
      <c r="B888" s="13" t="s">
        <v>10</v>
      </c>
      <c r="C888" s="13"/>
      <c r="D888" s="13"/>
      <c r="E888" s="13">
        <f>SUMIFS('Лист2'!C:C, 'Лист2'!A:A, A888, 'Лист2'!B:B, B888)</f>
        <v>59</v>
      </c>
      <c r="F888" s="19">
        <v>12983.0</v>
      </c>
      <c r="G888" s="19">
        <v>12056.0</v>
      </c>
      <c r="H888" s="2">
        <f t="shared" si="1"/>
        <v>0</v>
      </c>
      <c r="I888" s="2">
        <f t="shared" si="2"/>
        <v>22</v>
      </c>
    </row>
    <row r="889" ht="14.25" customHeight="1">
      <c r="A889" s="18">
        <v>43976.0</v>
      </c>
      <c r="B889" s="13" t="s">
        <v>11</v>
      </c>
      <c r="C889" s="13"/>
      <c r="D889" s="13"/>
      <c r="E889" s="13">
        <f>SUMIFS('Лист2'!C:C, 'Лист2'!A:A, A889, 'Лист2'!B:B, B889)</f>
        <v>20</v>
      </c>
      <c r="F889" s="19">
        <v>2011.0</v>
      </c>
      <c r="G889" s="19">
        <v>1791.0</v>
      </c>
      <c r="H889" s="2">
        <f t="shared" si="1"/>
        <v>0</v>
      </c>
      <c r="I889" s="2">
        <f t="shared" si="2"/>
        <v>22</v>
      </c>
    </row>
    <row r="890" ht="14.25" customHeight="1">
      <c r="A890" s="18">
        <v>43976.0</v>
      </c>
      <c r="B890" s="13" t="s">
        <v>12</v>
      </c>
      <c r="C890" s="13"/>
      <c r="D890" s="13"/>
      <c r="E890" s="13">
        <f>SUMIFS('Лист2'!C:C, 'Лист2'!A:A, A890, 'Лист2'!B:B, B890)</f>
        <v>18</v>
      </c>
      <c r="F890" s="19">
        <v>989.0</v>
      </c>
      <c r="G890" s="19">
        <v>887.0</v>
      </c>
      <c r="H890" s="2">
        <f t="shared" si="1"/>
        <v>0</v>
      </c>
      <c r="I890" s="2">
        <f t="shared" si="2"/>
        <v>22</v>
      </c>
    </row>
    <row r="891" ht="14.25" customHeight="1">
      <c r="A891" s="18">
        <v>43976.0</v>
      </c>
      <c r="B891" s="13" t="s">
        <v>13</v>
      </c>
      <c r="C891" s="13"/>
      <c r="D891" s="13"/>
      <c r="E891" s="13">
        <f>SUMIFS('Лист2'!C:C, 'Лист2'!A:A, A891, 'Лист2'!B:B, B891)</f>
        <v>17</v>
      </c>
      <c r="F891" s="19">
        <v>1142.0</v>
      </c>
      <c r="G891" s="19">
        <v>1020.0</v>
      </c>
      <c r="H891" s="2">
        <f t="shared" si="1"/>
        <v>0</v>
      </c>
      <c r="I891" s="2">
        <f t="shared" si="2"/>
        <v>22</v>
      </c>
    </row>
    <row r="892" ht="14.25" customHeight="1">
      <c r="A892" s="18">
        <v>43976.0</v>
      </c>
      <c r="B892" s="13" t="s">
        <v>14</v>
      </c>
      <c r="C892" s="13"/>
      <c r="D892" s="13"/>
      <c r="E892" s="13">
        <f>SUMIFS('Лист2'!C:C, 'Лист2'!A:A, A892, 'Лист2'!B:B, B892)</f>
        <v>15</v>
      </c>
      <c r="F892" s="19">
        <v>835.0</v>
      </c>
      <c r="G892" s="19">
        <v>736.0</v>
      </c>
      <c r="H892" s="2">
        <f t="shared" si="1"/>
        <v>0</v>
      </c>
      <c r="I892" s="2">
        <f t="shared" si="2"/>
        <v>22</v>
      </c>
    </row>
    <row r="893" ht="14.25" customHeight="1">
      <c r="A893" s="18">
        <v>43976.0</v>
      </c>
      <c r="B893" s="13" t="s">
        <v>16</v>
      </c>
      <c r="C893" s="13"/>
      <c r="D893" s="13"/>
      <c r="E893" s="13">
        <f>SUMIFS('Лист2'!C:C, 'Лист2'!A:A, A893, 'Лист2'!B:B, B893)</f>
        <v>124</v>
      </c>
      <c r="F893" s="19">
        <v>20358.0</v>
      </c>
      <c r="G893" s="19">
        <v>18890.0</v>
      </c>
      <c r="H893" s="2">
        <f t="shared" si="1"/>
        <v>0</v>
      </c>
      <c r="I893" s="2">
        <f t="shared" si="2"/>
        <v>22</v>
      </c>
    </row>
    <row r="894" ht="14.25" customHeight="1">
      <c r="A894" s="18">
        <v>43976.0</v>
      </c>
      <c r="B894" s="13" t="s">
        <v>17</v>
      </c>
      <c r="C894" s="13"/>
      <c r="D894" s="13"/>
      <c r="E894" s="13">
        <f>SUMIFS('Лист2'!C:C, 'Лист2'!A:A, A894, 'Лист2'!B:B, B894)</f>
        <v>129</v>
      </c>
      <c r="F894" s="19">
        <v>15822.0</v>
      </c>
      <c r="G894" s="19">
        <v>14753.0</v>
      </c>
      <c r="H894" s="2">
        <f t="shared" si="1"/>
        <v>0</v>
      </c>
      <c r="I894" s="2">
        <f t="shared" si="2"/>
        <v>22</v>
      </c>
    </row>
    <row r="895" ht="14.25" customHeight="1">
      <c r="A895" s="18">
        <v>43976.0</v>
      </c>
      <c r="B895" s="13" t="s">
        <v>18</v>
      </c>
      <c r="C895" s="13"/>
      <c r="D895" s="13"/>
      <c r="E895" s="13">
        <f>SUMIFS('Лист2'!C:C, 'Лист2'!A:A, A895, 'Лист2'!B:B, B895)</f>
        <v>10</v>
      </c>
      <c r="F895" s="19">
        <v>739.0</v>
      </c>
      <c r="G895" s="19">
        <v>642.0</v>
      </c>
      <c r="H895" s="2">
        <f t="shared" si="1"/>
        <v>0</v>
      </c>
      <c r="I895" s="2">
        <f t="shared" si="2"/>
        <v>22</v>
      </c>
    </row>
    <row r="896" ht="14.25" customHeight="1">
      <c r="A896" s="18">
        <v>43977.0</v>
      </c>
      <c r="B896" s="13" t="s">
        <v>4</v>
      </c>
      <c r="C896" s="13"/>
      <c r="D896" s="13"/>
      <c r="E896" s="13">
        <f>SUMIFS('Лист2'!C:C, 'Лист2'!A:A, A896, 'Лист2'!B:B, B896)</f>
        <v>36</v>
      </c>
      <c r="F896" s="19">
        <v>4770.0</v>
      </c>
      <c r="G896" s="19">
        <v>4424.0</v>
      </c>
      <c r="H896" s="2">
        <f t="shared" si="1"/>
        <v>0</v>
      </c>
      <c r="I896" s="2">
        <f t="shared" si="2"/>
        <v>22</v>
      </c>
    </row>
    <row r="897" ht="14.25" customHeight="1">
      <c r="A897" s="18">
        <v>43977.0</v>
      </c>
      <c r="B897" s="13" t="s">
        <v>5</v>
      </c>
      <c r="C897" s="13"/>
      <c r="D897" s="13"/>
      <c r="E897" s="13">
        <f>SUMIFS('Лист2'!C:C, 'Лист2'!A:A, A897, 'Лист2'!B:B, B897)</f>
        <v>31</v>
      </c>
      <c r="F897" s="19">
        <v>5493.0</v>
      </c>
      <c r="G897" s="19">
        <v>5119.0</v>
      </c>
      <c r="H897" s="2">
        <f t="shared" si="1"/>
        <v>0</v>
      </c>
      <c r="I897" s="2">
        <f t="shared" si="2"/>
        <v>22</v>
      </c>
    </row>
    <row r="898" ht="14.25" customHeight="1">
      <c r="A898" s="18">
        <v>43977.0</v>
      </c>
      <c r="B898" s="13" t="s">
        <v>6</v>
      </c>
      <c r="C898" s="13"/>
      <c r="D898" s="13"/>
      <c r="E898" s="13">
        <f>SUMIFS('Лист2'!C:C, 'Лист2'!A:A, A898, 'Лист2'!B:B, B898)</f>
        <v>21</v>
      </c>
      <c r="F898" s="19">
        <v>2418.0</v>
      </c>
      <c r="G898" s="19">
        <v>2215.0</v>
      </c>
      <c r="H898" s="2">
        <f t="shared" si="1"/>
        <v>0</v>
      </c>
      <c r="I898" s="2">
        <f t="shared" si="2"/>
        <v>22</v>
      </c>
    </row>
    <row r="899" ht="14.25" customHeight="1">
      <c r="A899" s="18">
        <v>43977.0</v>
      </c>
      <c r="B899" s="13" t="s">
        <v>7</v>
      </c>
      <c r="C899" s="13"/>
      <c r="D899" s="13"/>
      <c r="E899" s="13">
        <f>SUMIFS('Лист2'!C:C, 'Лист2'!A:A, A899, 'Лист2'!B:B, B899)</f>
        <v>20</v>
      </c>
      <c r="F899" s="19">
        <v>2044.0</v>
      </c>
      <c r="G899" s="19">
        <v>1863.0</v>
      </c>
      <c r="H899" s="2">
        <f t="shared" si="1"/>
        <v>0</v>
      </c>
      <c r="I899" s="2">
        <f t="shared" si="2"/>
        <v>22</v>
      </c>
    </row>
    <row r="900" ht="14.25" customHeight="1">
      <c r="A900" s="18">
        <v>43977.0</v>
      </c>
      <c r="B900" s="13" t="s">
        <v>8</v>
      </c>
      <c r="C900" s="13"/>
      <c r="D900" s="13"/>
      <c r="E900" s="13">
        <f>SUMIFS('Лист2'!C:C, 'Лист2'!A:A, A900, 'Лист2'!B:B, B900)</f>
        <v>20</v>
      </c>
      <c r="F900" s="19">
        <v>1814.0</v>
      </c>
      <c r="G900" s="19">
        <v>1655.0</v>
      </c>
      <c r="H900" s="2">
        <f t="shared" si="1"/>
        <v>0</v>
      </c>
      <c r="I900" s="2">
        <f t="shared" si="2"/>
        <v>22</v>
      </c>
    </row>
    <row r="901" ht="14.25" customHeight="1">
      <c r="A901" s="18">
        <v>43977.0</v>
      </c>
      <c r="B901" s="13" t="s">
        <v>9</v>
      </c>
      <c r="C901" s="13"/>
      <c r="D901" s="13"/>
      <c r="E901" s="13">
        <f>SUMIFS('Лист2'!C:C, 'Лист2'!A:A, A901, 'Лист2'!B:B, B901)</f>
        <v>54</v>
      </c>
      <c r="F901" s="19">
        <v>14482.0</v>
      </c>
      <c r="G901" s="19">
        <v>13510.0</v>
      </c>
      <c r="H901" s="2">
        <f t="shared" si="1"/>
        <v>0</v>
      </c>
      <c r="I901" s="2">
        <f t="shared" si="2"/>
        <v>22</v>
      </c>
    </row>
    <row r="902" ht="14.25" customHeight="1">
      <c r="A902" s="18">
        <v>43977.0</v>
      </c>
      <c r="B902" s="13" t="s">
        <v>10</v>
      </c>
      <c r="C902" s="13"/>
      <c r="D902" s="13"/>
      <c r="E902" s="13">
        <f>SUMIFS('Лист2'!C:C, 'Лист2'!A:A, A902, 'Лист2'!B:B, B902)</f>
        <v>59</v>
      </c>
      <c r="F902" s="19">
        <v>15369.0</v>
      </c>
      <c r="G902" s="19">
        <v>14299.0</v>
      </c>
      <c r="H902" s="2">
        <f t="shared" si="1"/>
        <v>0</v>
      </c>
      <c r="I902" s="2">
        <f t="shared" si="2"/>
        <v>22</v>
      </c>
    </row>
    <row r="903" ht="14.25" customHeight="1">
      <c r="A903" s="18">
        <v>43977.0</v>
      </c>
      <c r="B903" s="13" t="s">
        <v>11</v>
      </c>
      <c r="C903" s="13"/>
      <c r="D903" s="13"/>
      <c r="E903" s="13">
        <f>SUMIFS('Лист2'!C:C, 'Лист2'!A:A, A903, 'Лист2'!B:B, B903)</f>
        <v>20</v>
      </c>
      <c r="F903" s="19">
        <v>2036.0</v>
      </c>
      <c r="G903" s="19">
        <v>1790.0</v>
      </c>
      <c r="H903" s="2">
        <f t="shared" si="1"/>
        <v>0</v>
      </c>
      <c r="I903" s="2">
        <f t="shared" si="2"/>
        <v>22</v>
      </c>
    </row>
    <row r="904" ht="14.25" customHeight="1">
      <c r="A904" s="18">
        <v>43977.0</v>
      </c>
      <c r="B904" s="13" t="s">
        <v>12</v>
      </c>
      <c r="C904" s="13"/>
      <c r="D904" s="13"/>
      <c r="E904" s="13">
        <f>SUMIFS('Лист2'!C:C, 'Лист2'!A:A, A904, 'Лист2'!B:B, B904)</f>
        <v>18</v>
      </c>
      <c r="F904" s="19">
        <v>914.0</v>
      </c>
      <c r="G904" s="19">
        <v>804.0</v>
      </c>
      <c r="H904" s="2">
        <f t="shared" si="1"/>
        <v>0</v>
      </c>
      <c r="I904" s="2">
        <f t="shared" si="2"/>
        <v>22</v>
      </c>
    </row>
    <row r="905" ht="14.25" customHeight="1">
      <c r="A905" s="18">
        <v>43977.0</v>
      </c>
      <c r="B905" s="13" t="s">
        <v>13</v>
      </c>
      <c r="C905" s="13"/>
      <c r="D905" s="13"/>
      <c r="E905" s="13">
        <f>SUMIFS('Лист2'!C:C, 'Лист2'!A:A, A905, 'Лист2'!B:B, B905)</f>
        <v>17</v>
      </c>
      <c r="F905" s="19">
        <v>1140.0</v>
      </c>
      <c r="G905" s="19">
        <v>1016.0</v>
      </c>
      <c r="H905" s="2">
        <f t="shared" si="1"/>
        <v>0</v>
      </c>
      <c r="I905" s="2">
        <f t="shared" si="2"/>
        <v>22</v>
      </c>
    </row>
    <row r="906" ht="14.25" customHeight="1">
      <c r="A906" s="18">
        <v>43977.0</v>
      </c>
      <c r="B906" s="13" t="s">
        <v>14</v>
      </c>
      <c r="C906" s="13"/>
      <c r="D906" s="13"/>
      <c r="E906" s="13">
        <f>SUMIFS('Лист2'!C:C, 'Лист2'!A:A, A906, 'Лист2'!B:B, B906)</f>
        <v>15</v>
      </c>
      <c r="F906" s="19">
        <v>812.0</v>
      </c>
      <c r="G906" s="19">
        <v>711.0</v>
      </c>
      <c r="H906" s="2">
        <f t="shared" si="1"/>
        <v>0</v>
      </c>
      <c r="I906" s="2">
        <f t="shared" si="2"/>
        <v>22</v>
      </c>
    </row>
    <row r="907" ht="14.25" customHeight="1">
      <c r="A907" s="18">
        <v>43977.0</v>
      </c>
      <c r="B907" s="13" t="s">
        <v>16</v>
      </c>
      <c r="C907" s="13"/>
      <c r="D907" s="13"/>
      <c r="E907" s="13">
        <f>SUMIFS('Лист2'!C:C, 'Лист2'!A:A, A907, 'Лист2'!B:B, B907)</f>
        <v>124</v>
      </c>
      <c r="F907" s="19">
        <v>21153.0</v>
      </c>
      <c r="G907" s="19">
        <v>19673.0</v>
      </c>
      <c r="H907" s="2">
        <f t="shared" si="1"/>
        <v>0</v>
      </c>
      <c r="I907" s="2">
        <f t="shared" si="2"/>
        <v>22</v>
      </c>
    </row>
    <row r="908" ht="14.25" customHeight="1">
      <c r="A908" s="18">
        <v>43977.0</v>
      </c>
      <c r="B908" s="13" t="s">
        <v>17</v>
      </c>
      <c r="C908" s="13"/>
      <c r="D908" s="13"/>
      <c r="E908" s="13">
        <f>SUMIFS('Лист2'!C:C, 'Лист2'!A:A, A908, 'Лист2'!B:B, B908)</f>
        <v>129</v>
      </c>
      <c r="F908" s="19">
        <v>16459.0</v>
      </c>
      <c r="G908" s="19">
        <v>15355.0</v>
      </c>
      <c r="H908" s="2">
        <f t="shared" si="1"/>
        <v>0</v>
      </c>
      <c r="I908" s="2">
        <f t="shared" si="2"/>
        <v>22</v>
      </c>
    </row>
    <row r="909" ht="14.25" customHeight="1">
      <c r="A909" s="18">
        <v>43977.0</v>
      </c>
      <c r="B909" s="13" t="s">
        <v>18</v>
      </c>
      <c r="C909" s="13"/>
      <c r="D909" s="13"/>
      <c r="E909" s="13">
        <f>SUMIFS('Лист2'!C:C, 'Лист2'!A:A, A909, 'Лист2'!B:B, B909)</f>
        <v>10</v>
      </c>
      <c r="F909" s="19">
        <v>692.0</v>
      </c>
      <c r="G909" s="19">
        <v>601.0</v>
      </c>
      <c r="H909" s="2">
        <f t="shared" si="1"/>
        <v>0</v>
      </c>
      <c r="I909" s="2">
        <f t="shared" si="2"/>
        <v>22</v>
      </c>
    </row>
    <row r="910" ht="14.25" customHeight="1">
      <c r="A910" s="18">
        <v>43977.0</v>
      </c>
      <c r="B910" s="13" t="s">
        <v>20</v>
      </c>
      <c r="C910" s="13"/>
      <c r="D910" s="13"/>
      <c r="E910" s="13">
        <f>SUMIFS('Лист2'!C:C, 'Лист2'!A:A, A910, 'Лист2'!B:B, B910)</f>
        <v>7</v>
      </c>
      <c r="F910" s="19">
        <v>577.0</v>
      </c>
      <c r="G910" s="19">
        <v>389.0</v>
      </c>
      <c r="H910" s="2">
        <f t="shared" si="1"/>
        <v>0</v>
      </c>
      <c r="I910" s="2">
        <f t="shared" si="2"/>
        <v>22</v>
      </c>
    </row>
    <row r="911" ht="14.25" customHeight="1">
      <c r="A911" s="18">
        <v>43978.0</v>
      </c>
      <c r="B911" s="13" t="s">
        <v>4</v>
      </c>
      <c r="C911" s="13"/>
      <c r="D911" s="13"/>
      <c r="E911" s="13">
        <f>SUMIFS('Лист2'!C:C, 'Лист2'!A:A, A911, 'Лист2'!B:B, B911)</f>
        <v>36</v>
      </c>
      <c r="F911" s="19">
        <v>4951.0</v>
      </c>
      <c r="G911" s="19">
        <v>4584.0</v>
      </c>
      <c r="H911" s="2">
        <f t="shared" si="1"/>
        <v>0</v>
      </c>
      <c r="I911" s="2">
        <f t="shared" si="2"/>
        <v>22</v>
      </c>
    </row>
    <row r="912" ht="14.25" customHeight="1">
      <c r="A912" s="18">
        <v>43978.0</v>
      </c>
      <c r="B912" s="13" t="s">
        <v>5</v>
      </c>
      <c r="C912" s="13"/>
      <c r="D912" s="13"/>
      <c r="E912" s="13">
        <f>SUMIFS('Лист2'!C:C, 'Лист2'!A:A, A912, 'Лист2'!B:B, B912)</f>
        <v>31</v>
      </c>
      <c r="F912" s="19">
        <v>5330.0</v>
      </c>
      <c r="G912" s="19">
        <v>4977.0</v>
      </c>
      <c r="H912" s="2">
        <f t="shared" si="1"/>
        <v>0</v>
      </c>
      <c r="I912" s="2">
        <f t="shared" si="2"/>
        <v>22</v>
      </c>
    </row>
    <row r="913" ht="14.25" customHeight="1">
      <c r="A913" s="18">
        <v>43978.0</v>
      </c>
      <c r="B913" s="13" t="s">
        <v>6</v>
      </c>
      <c r="C913" s="13"/>
      <c r="D913" s="13"/>
      <c r="E913" s="13">
        <f>SUMIFS('Лист2'!C:C, 'Лист2'!A:A, A913, 'Лист2'!B:B, B913)</f>
        <v>21</v>
      </c>
      <c r="F913" s="19">
        <v>2430.0</v>
      </c>
      <c r="G913" s="19">
        <v>2216.0</v>
      </c>
      <c r="H913" s="2">
        <f t="shared" si="1"/>
        <v>0</v>
      </c>
      <c r="I913" s="2">
        <f t="shared" si="2"/>
        <v>22</v>
      </c>
    </row>
    <row r="914" ht="14.25" customHeight="1">
      <c r="A914" s="18">
        <v>43978.0</v>
      </c>
      <c r="B914" s="13" t="s">
        <v>7</v>
      </c>
      <c r="C914" s="13"/>
      <c r="D914" s="13"/>
      <c r="E914" s="13">
        <f>SUMIFS('Лист2'!C:C, 'Лист2'!A:A, A914, 'Лист2'!B:B, B914)</f>
        <v>20</v>
      </c>
      <c r="F914" s="19">
        <v>2079.0</v>
      </c>
      <c r="G914" s="19">
        <v>1893.0</v>
      </c>
      <c r="H914" s="2">
        <f t="shared" si="1"/>
        <v>0</v>
      </c>
      <c r="I914" s="2">
        <f t="shared" si="2"/>
        <v>22</v>
      </c>
    </row>
    <row r="915" ht="14.25" customHeight="1">
      <c r="A915" s="18">
        <v>43978.0</v>
      </c>
      <c r="B915" s="13" t="s">
        <v>8</v>
      </c>
      <c r="C915" s="13"/>
      <c r="D915" s="13"/>
      <c r="E915" s="13">
        <f>SUMIFS('Лист2'!C:C, 'Лист2'!A:A, A915, 'Лист2'!B:B, B915)</f>
        <v>20</v>
      </c>
      <c r="F915" s="19">
        <v>1873.0</v>
      </c>
      <c r="G915" s="19">
        <v>1715.0</v>
      </c>
      <c r="H915" s="2">
        <f t="shared" si="1"/>
        <v>0</v>
      </c>
      <c r="I915" s="2">
        <f t="shared" si="2"/>
        <v>22</v>
      </c>
    </row>
    <row r="916" ht="14.25" customHeight="1">
      <c r="A916" s="18">
        <v>43978.0</v>
      </c>
      <c r="B916" s="13" t="s">
        <v>9</v>
      </c>
      <c r="C916" s="13"/>
      <c r="D916" s="13"/>
      <c r="E916" s="13">
        <f>SUMIFS('Лист2'!C:C, 'Лист2'!A:A, A916, 'Лист2'!B:B, B916)</f>
        <v>54</v>
      </c>
      <c r="F916" s="19">
        <v>13091.0</v>
      </c>
      <c r="G916" s="19">
        <v>12216.0</v>
      </c>
      <c r="H916" s="2">
        <f t="shared" si="1"/>
        <v>0</v>
      </c>
      <c r="I916" s="2">
        <f t="shared" si="2"/>
        <v>22</v>
      </c>
    </row>
    <row r="917" ht="14.25" customHeight="1">
      <c r="A917" s="18">
        <v>43978.0</v>
      </c>
      <c r="B917" s="13" t="s">
        <v>10</v>
      </c>
      <c r="C917" s="13"/>
      <c r="D917" s="13"/>
      <c r="E917" s="13">
        <f>SUMIFS('Лист2'!C:C, 'Лист2'!A:A, A917, 'Лист2'!B:B, B917)</f>
        <v>59</v>
      </c>
      <c r="F917" s="19">
        <v>13942.0</v>
      </c>
      <c r="G917" s="19">
        <v>12986.0</v>
      </c>
      <c r="H917" s="2">
        <f t="shared" si="1"/>
        <v>0</v>
      </c>
      <c r="I917" s="2">
        <f t="shared" si="2"/>
        <v>22</v>
      </c>
    </row>
    <row r="918" ht="14.25" customHeight="1">
      <c r="A918" s="18">
        <v>43978.0</v>
      </c>
      <c r="B918" s="13" t="s">
        <v>11</v>
      </c>
      <c r="C918" s="13"/>
      <c r="D918" s="13"/>
      <c r="E918" s="13">
        <f>SUMIFS('Лист2'!C:C, 'Лист2'!A:A, A918, 'Лист2'!B:B, B918)</f>
        <v>20</v>
      </c>
      <c r="F918" s="19">
        <v>2079.0</v>
      </c>
      <c r="G918" s="19">
        <v>1856.0</v>
      </c>
      <c r="H918" s="2">
        <f t="shared" si="1"/>
        <v>0</v>
      </c>
      <c r="I918" s="2">
        <f t="shared" si="2"/>
        <v>22</v>
      </c>
    </row>
    <row r="919" ht="14.25" customHeight="1">
      <c r="A919" s="18">
        <v>43978.0</v>
      </c>
      <c r="B919" s="13" t="s">
        <v>12</v>
      </c>
      <c r="C919" s="13"/>
      <c r="D919" s="13"/>
      <c r="E919" s="13">
        <f>SUMIFS('Лист2'!C:C, 'Лист2'!A:A, A919, 'Лист2'!B:B, B919)</f>
        <v>18</v>
      </c>
      <c r="F919" s="19">
        <v>962.0</v>
      </c>
      <c r="G919" s="19">
        <v>859.0</v>
      </c>
      <c r="H919" s="2">
        <f t="shared" si="1"/>
        <v>0</v>
      </c>
      <c r="I919" s="2">
        <f t="shared" si="2"/>
        <v>22</v>
      </c>
    </row>
    <row r="920" ht="14.25" customHeight="1">
      <c r="A920" s="18">
        <v>43978.0</v>
      </c>
      <c r="B920" s="13" t="s">
        <v>13</v>
      </c>
      <c r="C920" s="13"/>
      <c r="D920" s="13"/>
      <c r="E920" s="13">
        <f>SUMIFS('Лист2'!C:C, 'Лист2'!A:A, A920, 'Лист2'!B:B, B920)</f>
        <v>17</v>
      </c>
      <c r="F920" s="19">
        <v>1203.0</v>
      </c>
      <c r="G920" s="19">
        <v>1077.0</v>
      </c>
      <c r="H920" s="2">
        <f t="shared" si="1"/>
        <v>0</v>
      </c>
      <c r="I920" s="2">
        <f t="shared" si="2"/>
        <v>22</v>
      </c>
    </row>
    <row r="921" ht="14.25" customHeight="1">
      <c r="A921" s="18">
        <v>43978.0</v>
      </c>
      <c r="B921" s="13" t="s">
        <v>14</v>
      </c>
      <c r="C921" s="13"/>
      <c r="D921" s="13"/>
      <c r="E921" s="13">
        <f>SUMIFS('Лист2'!C:C, 'Лист2'!A:A, A921, 'Лист2'!B:B, B921)</f>
        <v>15</v>
      </c>
      <c r="F921" s="19">
        <v>809.0</v>
      </c>
      <c r="G921" s="19">
        <v>702.0</v>
      </c>
      <c r="H921" s="2">
        <f t="shared" si="1"/>
        <v>0</v>
      </c>
      <c r="I921" s="2">
        <f t="shared" si="2"/>
        <v>22</v>
      </c>
    </row>
    <row r="922" ht="14.25" customHeight="1">
      <c r="A922" s="18">
        <v>43978.0</v>
      </c>
      <c r="B922" s="13" t="s">
        <v>16</v>
      </c>
      <c r="C922" s="13"/>
      <c r="D922" s="13"/>
      <c r="E922" s="13">
        <f>SUMIFS('Лист2'!C:C, 'Лист2'!A:A, A922, 'Лист2'!B:B, B922)</f>
        <v>124</v>
      </c>
      <c r="F922" s="19">
        <v>21384.0</v>
      </c>
      <c r="G922" s="19">
        <v>19897.0</v>
      </c>
      <c r="H922" s="2">
        <f t="shared" si="1"/>
        <v>0</v>
      </c>
      <c r="I922" s="2">
        <f t="shared" si="2"/>
        <v>22</v>
      </c>
    </row>
    <row r="923" ht="14.25" customHeight="1">
      <c r="A923" s="18">
        <v>43978.0</v>
      </c>
      <c r="B923" s="13" t="s">
        <v>17</v>
      </c>
      <c r="C923" s="13"/>
      <c r="D923" s="13"/>
      <c r="E923" s="13">
        <f>SUMIFS('Лист2'!C:C, 'Лист2'!A:A, A923, 'Лист2'!B:B, B923)</f>
        <v>129</v>
      </c>
      <c r="F923" s="19">
        <v>17115.0</v>
      </c>
      <c r="G923" s="19">
        <v>15962.0</v>
      </c>
      <c r="H923" s="2">
        <f t="shared" si="1"/>
        <v>0</v>
      </c>
      <c r="I923" s="2">
        <f t="shared" si="2"/>
        <v>22</v>
      </c>
    </row>
    <row r="924" ht="14.25" customHeight="1">
      <c r="A924" s="18">
        <v>43978.0</v>
      </c>
      <c r="B924" s="13" t="s">
        <v>18</v>
      </c>
      <c r="C924" s="13"/>
      <c r="D924" s="13"/>
      <c r="E924" s="13">
        <f>SUMIFS('Лист2'!C:C, 'Лист2'!A:A, A924, 'Лист2'!B:B, B924)</f>
        <v>10</v>
      </c>
      <c r="F924" s="19">
        <v>757.0</v>
      </c>
      <c r="G924" s="19">
        <v>660.0</v>
      </c>
      <c r="H924" s="2">
        <f t="shared" si="1"/>
        <v>0</v>
      </c>
      <c r="I924" s="2">
        <f t="shared" si="2"/>
        <v>22</v>
      </c>
    </row>
    <row r="925" ht="14.25" customHeight="1">
      <c r="A925" s="18">
        <v>43978.0</v>
      </c>
      <c r="B925" s="13" t="s">
        <v>20</v>
      </c>
      <c r="C925" s="13"/>
      <c r="D925" s="13"/>
      <c r="E925" s="13">
        <f>SUMIFS('Лист2'!C:C, 'Лист2'!A:A, A925, 'Лист2'!B:B, B925)</f>
        <v>7</v>
      </c>
      <c r="F925" s="19">
        <v>409.0</v>
      </c>
      <c r="G925" s="19">
        <v>329.0</v>
      </c>
      <c r="H925" s="2">
        <f t="shared" si="1"/>
        <v>0</v>
      </c>
      <c r="I925" s="2">
        <f t="shared" si="2"/>
        <v>22</v>
      </c>
    </row>
    <row r="926" ht="14.25" customHeight="1">
      <c r="A926" s="18">
        <v>43979.0</v>
      </c>
      <c r="B926" s="13" t="s">
        <v>4</v>
      </c>
      <c r="C926" s="13"/>
      <c r="D926" s="13"/>
      <c r="E926" s="13">
        <f>SUMIFS('Лист2'!C:C, 'Лист2'!A:A, A926, 'Лист2'!B:B, B926)</f>
        <v>37</v>
      </c>
      <c r="F926" s="19">
        <v>4840.0</v>
      </c>
      <c r="G926" s="19">
        <v>4475.0</v>
      </c>
      <c r="H926" s="2">
        <f t="shared" si="1"/>
        <v>0</v>
      </c>
      <c r="I926" s="2">
        <f t="shared" si="2"/>
        <v>22</v>
      </c>
    </row>
    <row r="927" ht="14.25" customHeight="1">
      <c r="A927" s="18">
        <v>43979.0</v>
      </c>
      <c r="B927" s="13" t="s">
        <v>5</v>
      </c>
      <c r="C927" s="13"/>
      <c r="D927" s="13"/>
      <c r="E927" s="13">
        <f>SUMIFS('Лист2'!C:C, 'Лист2'!A:A, A927, 'Лист2'!B:B, B927)</f>
        <v>31</v>
      </c>
      <c r="F927" s="19">
        <v>5355.0</v>
      </c>
      <c r="G927" s="19">
        <v>4969.0</v>
      </c>
      <c r="H927" s="2">
        <f t="shared" si="1"/>
        <v>0</v>
      </c>
      <c r="I927" s="2">
        <f t="shared" si="2"/>
        <v>22</v>
      </c>
    </row>
    <row r="928" ht="14.25" customHeight="1">
      <c r="A928" s="18">
        <v>43979.0</v>
      </c>
      <c r="B928" s="13" t="s">
        <v>6</v>
      </c>
      <c r="C928" s="13"/>
      <c r="D928" s="13"/>
      <c r="E928" s="13">
        <f>SUMIFS('Лист2'!C:C, 'Лист2'!A:A, A928, 'Лист2'!B:B, B928)</f>
        <v>22</v>
      </c>
      <c r="F928" s="19">
        <v>2454.0</v>
      </c>
      <c r="G928" s="19">
        <v>2239.0</v>
      </c>
      <c r="H928" s="2">
        <f t="shared" si="1"/>
        <v>0</v>
      </c>
      <c r="I928" s="2">
        <f t="shared" si="2"/>
        <v>22</v>
      </c>
    </row>
    <row r="929" ht="14.25" customHeight="1">
      <c r="A929" s="18">
        <v>43979.0</v>
      </c>
      <c r="B929" s="13" t="s">
        <v>7</v>
      </c>
      <c r="C929" s="13"/>
      <c r="D929" s="13"/>
      <c r="E929" s="13">
        <f>SUMIFS('Лист2'!C:C, 'Лист2'!A:A, A929, 'Лист2'!B:B, B929)</f>
        <v>20</v>
      </c>
      <c r="F929" s="19">
        <v>1886.0</v>
      </c>
      <c r="G929" s="19">
        <v>1736.0</v>
      </c>
      <c r="H929" s="2">
        <f t="shared" si="1"/>
        <v>0</v>
      </c>
      <c r="I929" s="2">
        <f t="shared" si="2"/>
        <v>22</v>
      </c>
    </row>
    <row r="930" ht="14.25" customHeight="1">
      <c r="A930" s="18">
        <v>43979.0</v>
      </c>
      <c r="B930" s="13" t="s">
        <v>8</v>
      </c>
      <c r="C930" s="13"/>
      <c r="D930" s="13"/>
      <c r="E930" s="13">
        <f>SUMIFS('Лист2'!C:C, 'Лист2'!A:A, A930, 'Лист2'!B:B, B930)</f>
        <v>20</v>
      </c>
      <c r="F930" s="19">
        <v>1875.0</v>
      </c>
      <c r="G930" s="19">
        <v>1701.0</v>
      </c>
      <c r="H930" s="2">
        <f t="shared" si="1"/>
        <v>0</v>
      </c>
      <c r="I930" s="2">
        <f t="shared" si="2"/>
        <v>22</v>
      </c>
    </row>
    <row r="931" ht="14.25" customHeight="1">
      <c r="A931" s="18">
        <v>43979.0</v>
      </c>
      <c r="B931" s="13" t="s">
        <v>9</v>
      </c>
      <c r="C931" s="13"/>
      <c r="D931" s="13"/>
      <c r="E931" s="13">
        <f>SUMIFS('Лист2'!C:C, 'Лист2'!A:A, A931, 'Лист2'!B:B, B931)</f>
        <v>54</v>
      </c>
      <c r="F931" s="19">
        <v>12409.0</v>
      </c>
      <c r="G931" s="19">
        <v>11582.0</v>
      </c>
      <c r="H931" s="2">
        <f t="shared" si="1"/>
        <v>0</v>
      </c>
      <c r="I931" s="2">
        <f t="shared" si="2"/>
        <v>22</v>
      </c>
    </row>
    <row r="932" ht="14.25" customHeight="1">
      <c r="A932" s="18">
        <v>43979.0</v>
      </c>
      <c r="B932" s="13" t="s">
        <v>10</v>
      </c>
      <c r="C932" s="13"/>
      <c r="D932" s="13"/>
      <c r="E932" s="13">
        <f>SUMIFS('Лист2'!C:C, 'Лист2'!A:A, A932, 'Лист2'!B:B, B932)</f>
        <v>60</v>
      </c>
      <c r="F932" s="19">
        <v>12854.0</v>
      </c>
      <c r="G932" s="19">
        <v>11954.0</v>
      </c>
      <c r="H932" s="2">
        <f t="shared" si="1"/>
        <v>0</v>
      </c>
      <c r="I932" s="2">
        <f t="shared" si="2"/>
        <v>22</v>
      </c>
    </row>
    <row r="933" ht="14.25" customHeight="1">
      <c r="A933" s="18">
        <v>43979.0</v>
      </c>
      <c r="B933" s="13" t="s">
        <v>11</v>
      </c>
      <c r="C933" s="13"/>
      <c r="D933" s="13"/>
      <c r="E933" s="13">
        <f>SUMIFS('Лист2'!C:C, 'Лист2'!A:A, A933, 'Лист2'!B:B, B933)</f>
        <v>20</v>
      </c>
      <c r="F933" s="19">
        <v>2088.0</v>
      </c>
      <c r="G933" s="19">
        <v>1848.0</v>
      </c>
      <c r="H933" s="2">
        <f t="shared" si="1"/>
        <v>0</v>
      </c>
      <c r="I933" s="2">
        <f t="shared" si="2"/>
        <v>22</v>
      </c>
    </row>
    <row r="934" ht="14.25" customHeight="1">
      <c r="A934" s="18">
        <v>43979.0</v>
      </c>
      <c r="B934" s="13" t="s">
        <v>12</v>
      </c>
      <c r="C934" s="13"/>
      <c r="D934" s="13"/>
      <c r="E934" s="13">
        <f>SUMIFS('Лист2'!C:C, 'Лист2'!A:A, A934, 'Лист2'!B:B, B934)</f>
        <v>18</v>
      </c>
      <c r="F934" s="19">
        <v>1020.0</v>
      </c>
      <c r="G934" s="19">
        <v>911.0</v>
      </c>
      <c r="H934" s="2">
        <f t="shared" si="1"/>
        <v>0</v>
      </c>
      <c r="I934" s="2">
        <f t="shared" si="2"/>
        <v>22</v>
      </c>
    </row>
    <row r="935" ht="14.25" customHeight="1">
      <c r="A935" s="18">
        <v>43979.0</v>
      </c>
      <c r="B935" s="13" t="s">
        <v>13</v>
      </c>
      <c r="C935" s="13"/>
      <c r="D935" s="13"/>
      <c r="E935" s="13">
        <f>SUMIFS('Лист2'!C:C, 'Лист2'!A:A, A935, 'Лист2'!B:B, B935)</f>
        <v>17</v>
      </c>
      <c r="F935" s="19">
        <v>1097.0</v>
      </c>
      <c r="G935" s="19">
        <v>968.0</v>
      </c>
      <c r="H935" s="2">
        <f t="shared" si="1"/>
        <v>0</v>
      </c>
      <c r="I935" s="2">
        <f t="shared" si="2"/>
        <v>22</v>
      </c>
    </row>
    <row r="936" ht="14.25" customHeight="1">
      <c r="A936" s="18">
        <v>43979.0</v>
      </c>
      <c r="B936" s="13" t="s">
        <v>14</v>
      </c>
      <c r="C936" s="13"/>
      <c r="D936" s="13"/>
      <c r="E936" s="13">
        <f>SUMIFS('Лист2'!C:C, 'Лист2'!A:A, A936, 'Лист2'!B:B, B936)</f>
        <v>16</v>
      </c>
      <c r="F936" s="19">
        <v>876.0</v>
      </c>
      <c r="G936" s="19">
        <v>762.0</v>
      </c>
      <c r="H936" s="2">
        <f t="shared" si="1"/>
        <v>0</v>
      </c>
      <c r="I936" s="2">
        <f t="shared" si="2"/>
        <v>22</v>
      </c>
    </row>
    <row r="937" ht="14.25" customHeight="1">
      <c r="A937" s="18">
        <v>43979.0</v>
      </c>
      <c r="B937" s="13" t="s">
        <v>15</v>
      </c>
      <c r="C937" s="13"/>
      <c r="D937" s="13"/>
      <c r="E937" s="13">
        <f>SUMIFS('Лист2'!C:C, 'Лист2'!A:A, A937, 'Лист2'!B:B, B937)</f>
        <v>15</v>
      </c>
      <c r="F937" s="19">
        <v>464.0</v>
      </c>
      <c r="G937" s="19">
        <v>390.0</v>
      </c>
      <c r="H937" s="2">
        <f t="shared" si="1"/>
        <v>0</v>
      </c>
      <c r="I937" s="2">
        <f t="shared" si="2"/>
        <v>22</v>
      </c>
    </row>
    <row r="938" ht="14.25" customHeight="1">
      <c r="A938" s="18">
        <v>43979.0</v>
      </c>
      <c r="B938" s="13" t="s">
        <v>16</v>
      </c>
      <c r="C938" s="13"/>
      <c r="D938" s="13"/>
      <c r="E938" s="13">
        <f>SUMIFS('Лист2'!C:C, 'Лист2'!A:A, A938, 'Лист2'!B:B, B938)</f>
        <v>124</v>
      </c>
      <c r="F938" s="19">
        <v>20868.0</v>
      </c>
      <c r="G938" s="19">
        <v>19342.0</v>
      </c>
      <c r="H938" s="2">
        <f t="shared" si="1"/>
        <v>0</v>
      </c>
      <c r="I938" s="2">
        <f t="shared" si="2"/>
        <v>22</v>
      </c>
    </row>
    <row r="939" ht="14.25" customHeight="1">
      <c r="A939" s="18">
        <v>43979.0</v>
      </c>
      <c r="B939" s="13" t="s">
        <v>17</v>
      </c>
      <c r="C939" s="13"/>
      <c r="D939" s="13"/>
      <c r="E939" s="13">
        <f>SUMIFS('Лист2'!C:C, 'Лист2'!A:A, A939, 'Лист2'!B:B, B939)</f>
        <v>129</v>
      </c>
      <c r="F939" s="19">
        <v>16453.0</v>
      </c>
      <c r="G939" s="19">
        <v>15289.0</v>
      </c>
      <c r="H939" s="2">
        <f t="shared" si="1"/>
        <v>0</v>
      </c>
      <c r="I939" s="2">
        <f t="shared" si="2"/>
        <v>22</v>
      </c>
    </row>
    <row r="940" ht="14.25" customHeight="1">
      <c r="A940" s="18">
        <v>43979.0</v>
      </c>
      <c r="B940" s="13" t="s">
        <v>18</v>
      </c>
      <c r="C940" s="13"/>
      <c r="D940" s="13"/>
      <c r="E940" s="13">
        <f>SUMIFS('Лист2'!C:C, 'Лист2'!A:A, A940, 'Лист2'!B:B, B940)</f>
        <v>10</v>
      </c>
      <c r="F940" s="19">
        <v>791.0</v>
      </c>
      <c r="G940" s="19">
        <v>697.0</v>
      </c>
      <c r="H940" s="2">
        <f t="shared" si="1"/>
        <v>0</v>
      </c>
      <c r="I940" s="2">
        <f t="shared" si="2"/>
        <v>22</v>
      </c>
    </row>
    <row r="941" ht="14.25" customHeight="1">
      <c r="A941" s="18">
        <v>43979.0</v>
      </c>
      <c r="B941" s="13" t="s">
        <v>20</v>
      </c>
      <c r="C941" s="13"/>
      <c r="D941" s="13"/>
      <c r="E941" s="13">
        <f>SUMIFS('Лист2'!C:C, 'Лист2'!A:A, A941, 'Лист2'!B:B, B941)</f>
        <v>7</v>
      </c>
      <c r="F941" s="19">
        <v>420.0</v>
      </c>
      <c r="G941" s="19">
        <v>347.0</v>
      </c>
      <c r="H941" s="2">
        <f t="shared" si="1"/>
        <v>0</v>
      </c>
      <c r="I941" s="2">
        <f t="shared" si="2"/>
        <v>22</v>
      </c>
    </row>
    <row r="942" ht="14.25" customHeight="1">
      <c r="A942" s="18">
        <v>43980.0</v>
      </c>
      <c r="B942" s="13" t="s">
        <v>4</v>
      </c>
      <c r="C942" s="13"/>
      <c r="D942" s="13"/>
      <c r="E942" s="13">
        <f>SUMIFS('Лист2'!C:C, 'Лист2'!A:A, A942, 'Лист2'!B:B, B942)</f>
        <v>37</v>
      </c>
      <c r="F942" s="19">
        <v>5672.0</v>
      </c>
      <c r="G942" s="19">
        <v>5198.0</v>
      </c>
      <c r="H942" s="2">
        <f t="shared" si="1"/>
        <v>0</v>
      </c>
      <c r="I942" s="2">
        <f t="shared" si="2"/>
        <v>22</v>
      </c>
    </row>
    <row r="943" ht="14.25" customHeight="1">
      <c r="A943" s="18">
        <v>43980.0</v>
      </c>
      <c r="B943" s="13" t="s">
        <v>5</v>
      </c>
      <c r="C943" s="13"/>
      <c r="D943" s="13"/>
      <c r="E943" s="13">
        <f>SUMIFS('Лист2'!C:C, 'Лист2'!A:A, A943, 'Лист2'!B:B, B943)</f>
        <v>31</v>
      </c>
      <c r="F943" s="19">
        <v>5751.0</v>
      </c>
      <c r="G943" s="19">
        <v>5319.0</v>
      </c>
      <c r="H943" s="2">
        <f t="shared" si="1"/>
        <v>0</v>
      </c>
      <c r="I943" s="2">
        <f t="shared" si="2"/>
        <v>22</v>
      </c>
    </row>
    <row r="944" ht="14.25" customHeight="1">
      <c r="A944" s="18">
        <v>43980.0</v>
      </c>
      <c r="B944" s="13" t="s">
        <v>6</v>
      </c>
      <c r="C944" s="13"/>
      <c r="D944" s="13"/>
      <c r="E944" s="13">
        <f>SUMIFS('Лист2'!C:C, 'Лист2'!A:A, A944, 'Лист2'!B:B, B944)</f>
        <v>22</v>
      </c>
      <c r="F944" s="19">
        <v>2597.0</v>
      </c>
      <c r="G944" s="19">
        <v>2379.0</v>
      </c>
      <c r="H944" s="2">
        <f t="shared" si="1"/>
        <v>0</v>
      </c>
      <c r="I944" s="2">
        <f t="shared" si="2"/>
        <v>22</v>
      </c>
    </row>
    <row r="945" ht="14.25" customHeight="1">
      <c r="A945" s="18">
        <v>43980.0</v>
      </c>
      <c r="B945" s="13" t="s">
        <v>7</v>
      </c>
      <c r="C945" s="13"/>
      <c r="D945" s="13"/>
      <c r="E945" s="13">
        <f>SUMIFS('Лист2'!C:C, 'Лист2'!A:A, A945, 'Лист2'!B:B, B945)</f>
        <v>20</v>
      </c>
      <c r="F945" s="19">
        <v>2111.0</v>
      </c>
      <c r="G945" s="19">
        <v>1917.0</v>
      </c>
      <c r="H945" s="2">
        <f t="shared" si="1"/>
        <v>0</v>
      </c>
      <c r="I945" s="2">
        <f t="shared" si="2"/>
        <v>22</v>
      </c>
    </row>
    <row r="946" ht="14.25" customHeight="1">
      <c r="A946" s="18">
        <v>43980.0</v>
      </c>
      <c r="B946" s="13" t="s">
        <v>8</v>
      </c>
      <c r="C946" s="13"/>
      <c r="D946" s="13"/>
      <c r="E946" s="13">
        <f>SUMIFS('Лист2'!C:C, 'Лист2'!A:A, A946, 'Лист2'!B:B, B946)</f>
        <v>20</v>
      </c>
      <c r="F946" s="19">
        <v>2064.0</v>
      </c>
      <c r="G946" s="19">
        <v>1896.0</v>
      </c>
      <c r="H946" s="2">
        <f t="shared" si="1"/>
        <v>0</v>
      </c>
      <c r="I946" s="2">
        <f t="shared" si="2"/>
        <v>22</v>
      </c>
    </row>
    <row r="947" ht="14.25" customHeight="1">
      <c r="A947" s="18">
        <v>43980.0</v>
      </c>
      <c r="B947" s="13" t="s">
        <v>9</v>
      </c>
      <c r="C947" s="13"/>
      <c r="D947" s="13"/>
      <c r="E947" s="13">
        <f>SUMIFS('Лист2'!C:C, 'Лист2'!A:A, A947, 'Лист2'!B:B, B947)</f>
        <v>54</v>
      </c>
      <c r="F947" s="19">
        <v>14031.0</v>
      </c>
      <c r="G947" s="19">
        <v>12943.0</v>
      </c>
      <c r="H947" s="2">
        <f t="shared" si="1"/>
        <v>0</v>
      </c>
      <c r="I947" s="2">
        <f t="shared" si="2"/>
        <v>22</v>
      </c>
    </row>
    <row r="948" ht="14.25" customHeight="1">
      <c r="A948" s="18">
        <v>43980.0</v>
      </c>
      <c r="B948" s="13" t="s">
        <v>10</v>
      </c>
      <c r="C948" s="13"/>
      <c r="D948" s="13"/>
      <c r="E948" s="13">
        <f>SUMIFS('Лист2'!C:C, 'Лист2'!A:A, A948, 'Лист2'!B:B, B948)</f>
        <v>59</v>
      </c>
      <c r="F948" s="19">
        <v>14507.0</v>
      </c>
      <c r="G948" s="19">
        <v>13386.0</v>
      </c>
      <c r="H948" s="2">
        <f t="shared" si="1"/>
        <v>0</v>
      </c>
      <c r="I948" s="2">
        <f t="shared" si="2"/>
        <v>22</v>
      </c>
    </row>
    <row r="949" ht="14.25" customHeight="1">
      <c r="A949" s="18">
        <v>43980.0</v>
      </c>
      <c r="B949" s="13" t="s">
        <v>11</v>
      </c>
      <c r="C949" s="13"/>
      <c r="D949" s="13"/>
      <c r="E949" s="13">
        <f>SUMIFS('Лист2'!C:C, 'Лист2'!A:A, A949, 'Лист2'!B:B, B949)</f>
        <v>20</v>
      </c>
      <c r="F949" s="19">
        <v>2249.0</v>
      </c>
      <c r="G949" s="19">
        <v>2000.0</v>
      </c>
      <c r="H949" s="2">
        <f t="shared" si="1"/>
        <v>0</v>
      </c>
      <c r="I949" s="2">
        <f t="shared" si="2"/>
        <v>22</v>
      </c>
    </row>
    <row r="950" ht="14.25" customHeight="1">
      <c r="A950" s="18">
        <v>43980.0</v>
      </c>
      <c r="B950" s="13" t="s">
        <v>12</v>
      </c>
      <c r="C950" s="13"/>
      <c r="D950" s="13"/>
      <c r="E950" s="13">
        <f>SUMIFS('Лист2'!C:C, 'Лист2'!A:A, A950, 'Лист2'!B:B, B950)</f>
        <v>18</v>
      </c>
      <c r="F950" s="19">
        <v>1014.0</v>
      </c>
      <c r="G950" s="19">
        <v>893.0</v>
      </c>
      <c r="H950" s="2">
        <f t="shared" si="1"/>
        <v>0</v>
      </c>
      <c r="I950" s="2">
        <f t="shared" si="2"/>
        <v>22</v>
      </c>
    </row>
    <row r="951" ht="14.25" customHeight="1">
      <c r="A951" s="18">
        <v>43980.0</v>
      </c>
      <c r="B951" s="13" t="s">
        <v>13</v>
      </c>
      <c r="C951" s="13"/>
      <c r="D951" s="13"/>
      <c r="E951" s="13">
        <f>SUMIFS('Лист2'!C:C, 'Лист2'!A:A, A951, 'Лист2'!B:B, B951)</f>
        <v>17</v>
      </c>
      <c r="F951" s="19">
        <v>1296.0</v>
      </c>
      <c r="G951" s="19">
        <v>1153.0</v>
      </c>
      <c r="H951" s="2">
        <f t="shared" si="1"/>
        <v>0</v>
      </c>
      <c r="I951" s="2">
        <f t="shared" si="2"/>
        <v>22</v>
      </c>
    </row>
    <row r="952" ht="14.25" customHeight="1">
      <c r="A952" s="18">
        <v>43980.0</v>
      </c>
      <c r="B952" s="13" t="s">
        <v>14</v>
      </c>
      <c r="C952" s="13"/>
      <c r="D952" s="13"/>
      <c r="E952" s="13">
        <f>SUMIFS('Лист2'!C:C, 'Лист2'!A:A, A952, 'Лист2'!B:B, B952)</f>
        <v>16</v>
      </c>
      <c r="F952" s="19">
        <v>981.0</v>
      </c>
      <c r="G952" s="19">
        <v>859.0</v>
      </c>
      <c r="H952" s="2">
        <f t="shared" si="1"/>
        <v>0</v>
      </c>
      <c r="I952" s="2">
        <f t="shared" si="2"/>
        <v>22</v>
      </c>
    </row>
    <row r="953" ht="14.25" customHeight="1">
      <c r="A953" s="18">
        <v>43980.0</v>
      </c>
      <c r="B953" s="13" t="s">
        <v>15</v>
      </c>
      <c r="C953" s="13"/>
      <c r="D953" s="13"/>
      <c r="E953" s="13">
        <f>SUMIFS('Лист2'!C:C, 'Лист2'!A:A, A953, 'Лист2'!B:B, B953)</f>
        <v>15</v>
      </c>
      <c r="F953" s="19">
        <v>400.0</v>
      </c>
      <c r="G953" s="19">
        <v>329.0</v>
      </c>
      <c r="H953" s="2">
        <f t="shared" si="1"/>
        <v>0</v>
      </c>
      <c r="I953" s="2">
        <f t="shared" si="2"/>
        <v>22</v>
      </c>
    </row>
    <row r="954" ht="14.25" customHeight="1">
      <c r="A954" s="18">
        <v>43980.0</v>
      </c>
      <c r="B954" s="13" t="s">
        <v>16</v>
      </c>
      <c r="C954" s="13"/>
      <c r="D954" s="13"/>
      <c r="E954" s="13">
        <f>SUMIFS('Лист2'!C:C, 'Лист2'!A:A, A954, 'Лист2'!B:B, B954)</f>
        <v>124</v>
      </c>
      <c r="F954" s="19">
        <v>25828.0</v>
      </c>
      <c r="G954" s="19">
        <v>23974.0</v>
      </c>
      <c r="H954" s="2">
        <f t="shared" si="1"/>
        <v>0</v>
      </c>
      <c r="I954" s="2">
        <f t="shared" si="2"/>
        <v>22</v>
      </c>
    </row>
    <row r="955" ht="14.25" customHeight="1">
      <c r="A955" s="18">
        <v>43980.0</v>
      </c>
      <c r="B955" s="13" t="s">
        <v>17</v>
      </c>
      <c r="C955" s="13"/>
      <c r="D955" s="13"/>
      <c r="E955" s="13">
        <f>SUMIFS('Лист2'!C:C, 'Лист2'!A:A, A955, 'Лист2'!B:B, B955)</f>
        <v>129</v>
      </c>
      <c r="F955" s="19">
        <v>22403.0</v>
      </c>
      <c r="G955" s="19">
        <v>20676.0</v>
      </c>
      <c r="H955" s="2">
        <f t="shared" si="1"/>
        <v>0</v>
      </c>
      <c r="I955" s="2">
        <f t="shared" si="2"/>
        <v>22</v>
      </c>
    </row>
    <row r="956" ht="14.25" customHeight="1">
      <c r="A956" s="18">
        <v>43980.0</v>
      </c>
      <c r="B956" s="13" t="s">
        <v>18</v>
      </c>
      <c r="C956" s="13"/>
      <c r="D956" s="13"/>
      <c r="E956" s="13">
        <f>SUMIFS('Лист2'!C:C, 'Лист2'!A:A, A956, 'Лист2'!B:B, B956)</f>
        <v>10</v>
      </c>
      <c r="F956" s="19">
        <v>873.0</v>
      </c>
      <c r="G956" s="19">
        <v>770.0</v>
      </c>
      <c r="H956" s="2">
        <f t="shared" si="1"/>
        <v>0</v>
      </c>
      <c r="I956" s="2">
        <f t="shared" si="2"/>
        <v>22</v>
      </c>
    </row>
    <row r="957" ht="14.25" customHeight="1">
      <c r="A957" s="18">
        <v>43980.0</v>
      </c>
      <c r="B957" s="13" t="s">
        <v>20</v>
      </c>
      <c r="C957" s="13"/>
      <c r="D957" s="13"/>
      <c r="E957" s="13">
        <f>SUMIFS('Лист2'!C:C, 'Лист2'!A:A, A957, 'Лист2'!B:B, B957)</f>
        <v>7</v>
      </c>
      <c r="F957" s="19">
        <v>491.0</v>
      </c>
      <c r="G957" s="19">
        <v>411.0</v>
      </c>
      <c r="H957" s="2">
        <f t="shared" si="1"/>
        <v>0</v>
      </c>
      <c r="I957" s="2">
        <f t="shared" si="2"/>
        <v>22</v>
      </c>
    </row>
    <row r="958" ht="14.25" customHeight="1">
      <c r="A958" s="18">
        <v>43981.0</v>
      </c>
      <c r="B958" s="13" t="s">
        <v>4</v>
      </c>
      <c r="C958" s="13"/>
      <c r="D958" s="13"/>
      <c r="E958" s="13">
        <f>SUMIFS('Лист2'!C:C, 'Лист2'!A:A, A958, 'Лист2'!B:B, B958)</f>
        <v>37</v>
      </c>
      <c r="F958" s="19">
        <v>6645.0</v>
      </c>
      <c r="G958" s="19">
        <v>6122.0</v>
      </c>
      <c r="H958" s="2">
        <f t="shared" si="1"/>
        <v>0</v>
      </c>
      <c r="I958" s="2">
        <f t="shared" si="2"/>
        <v>22</v>
      </c>
    </row>
    <row r="959" ht="14.25" customHeight="1">
      <c r="A959" s="18">
        <v>43981.0</v>
      </c>
      <c r="B959" s="13" t="s">
        <v>5</v>
      </c>
      <c r="C959" s="13"/>
      <c r="D959" s="13"/>
      <c r="E959" s="13">
        <f>SUMIFS('Лист2'!C:C, 'Лист2'!A:A, A959, 'Лист2'!B:B, B959)</f>
        <v>31</v>
      </c>
      <c r="F959" s="19">
        <v>6735.0</v>
      </c>
      <c r="G959" s="19">
        <v>6264.0</v>
      </c>
      <c r="H959" s="2">
        <f t="shared" si="1"/>
        <v>0</v>
      </c>
      <c r="I959" s="2">
        <f t="shared" si="2"/>
        <v>22</v>
      </c>
    </row>
    <row r="960" ht="14.25" customHeight="1">
      <c r="A960" s="18">
        <v>43981.0</v>
      </c>
      <c r="B960" s="13" t="s">
        <v>6</v>
      </c>
      <c r="C960" s="13"/>
      <c r="D960" s="13"/>
      <c r="E960" s="13">
        <f>SUMIFS('Лист2'!C:C, 'Лист2'!A:A, A960, 'Лист2'!B:B, B960)</f>
        <v>22</v>
      </c>
      <c r="F960" s="19">
        <v>2793.0</v>
      </c>
      <c r="G960" s="19">
        <v>2539.0</v>
      </c>
      <c r="H960" s="2">
        <f t="shared" si="1"/>
        <v>0</v>
      </c>
      <c r="I960" s="2">
        <f t="shared" si="2"/>
        <v>22</v>
      </c>
    </row>
    <row r="961" ht="14.25" customHeight="1">
      <c r="A961" s="18">
        <v>43981.0</v>
      </c>
      <c r="B961" s="13" t="s">
        <v>7</v>
      </c>
      <c r="C961" s="13"/>
      <c r="D961" s="13"/>
      <c r="E961" s="13">
        <f>SUMIFS('Лист2'!C:C, 'Лист2'!A:A, A961, 'Лист2'!B:B, B961)</f>
        <v>20</v>
      </c>
      <c r="F961" s="19">
        <v>2597.0</v>
      </c>
      <c r="G961" s="19">
        <v>2376.0</v>
      </c>
      <c r="H961" s="2">
        <f t="shared" si="1"/>
        <v>0</v>
      </c>
      <c r="I961" s="2">
        <f t="shared" si="2"/>
        <v>22</v>
      </c>
    </row>
    <row r="962" ht="14.25" customHeight="1">
      <c r="A962" s="18">
        <v>43981.0</v>
      </c>
      <c r="B962" s="13" t="s">
        <v>8</v>
      </c>
      <c r="C962" s="13"/>
      <c r="D962" s="13"/>
      <c r="E962" s="13">
        <f>SUMIFS('Лист2'!C:C, 'Лист2'!A:A, A962, 'Лист2'!B:B, B962)</f>
        <v>20</v>
      </c>
      <c r="F962" s="19">
        <v>2174.0</v>
      </c>
      <c r="G962" s="19">
        <v>1957.0</v>
      </c>
      <c r="H962" s="2">
        <f t="shared" si="1"/>
        <v>0</v>
      </c>
      <c r="I962" s="2">
        <f t="shared" si="2"/>
        <v>22</v>
      </c>
    </row>
    <row r="963" ht="14.25" customHeight="1">
      <c r="A963" s="18">
        <v>43981.0</v>
      </c>
      <c r="B963" s="13" t="s">
        <v>9</v>
      </c>
      <c r="C963" s="13"/>
      <c r="D963" s="13"/>
      <c r="E963" s="13">
        <f>SUMIFS('Лист2'!C:C, 'Лист2'!A:A, A963, 'Лист2'!B:B, B963)</f>
        <v>54</v>
      </c>
      <c r="F963" s="19">
        <v>14590.0</v>
      </c>
      <c r="G963" s="19">
        <v>13551.0</v>
      </c>
      <c r="H963" s="2">
        <f t="shared" si="1"/>
        <v>0</v>
      </c>
      <c r="I963" s="2">
        <f t="shared" si="2"/>
        <v>22</v>
      </c>
    </row>
    <row r="964" ht="14.25" customHeight="1">
      <c r="A964" s="18">
        <v>43981.0</v>
      </c>
      <c r="B964" s="13" t="s">
        <v>10</v>
      </c>
      <c r="C964" s="13"/>
      <c r="D964" s="13"/>
      <c r="E964" s="13">
        <f>SUMIFS('Лист2'!C:C, 'Лист2'!A:A, A964, 'Лист2'!B:B, B964)</f>
        <v>59</v>
      </c>
      <c r="F964" s="19">
        <v>15030.0</v>
      </c>
      <c r="G964" s="19">
        <v>13956.0</v>
      </c>
      <c r="H964" s="2">
        <f t="shared" si="1"/>
        <v>0</v>
      </c>
      <c r="I964" s="2">
        <f t="shared" si="2"/>
        <v>22</v>
      </c>
    </row>
    <row r="965" ht="14.25" customHeight="1">
      <c r="A965" s="18">
        <v>43981.0</v>
      </c>
      <c r="B965" s="13" t="s">
        <v>11</v>
      </c>
      <c r="C965" s="13"/>
      <c r="D965" s="13"/>
      <c r="E965" s="13">
        <f>SUMIFS('Лист2'!C:C, 'Лист2'!A:A, A965, 'Лист2'!B:B, B965)</f>
        <v>20</v>
      </c>
      <c r="F965" s="19">
        <v>2451.0</v>
      </c>
      <c r="G965" s="19">
        <v>2178.0</v>
      </c>
      <c r="H965" s="2">
        <f t="shared" si="1"/>
        <v>0</v>
      </c>
      <c r="I965" s="2">
        <f t="shared" si="2"/>
        <v>22</v>
      </c>
    </row>
    <row r="966" ht="14.25" customHeight="1">
      <c r="A966" s="18">
        <v>43981.0</v>
      </c>
      <c r="B966" s="13" t="s">
        <v>12</v>
      </c>
      <c r="C966" s="13"/>
      <c r="D966" s="13"/>
      <c r="E966" s="13">
        <f>SUMIFS('Лист2'!C:C, 'Лист2'!A:A, A966, 'Лист2'!B:B, B966)</f>
        <v>18</v>
      </c>
      <c r="F966" s="19">
        <v>1216.0</v>
      </c>
      <c r="G966" s="19">
        <v>1101.0</v>
      </c>
      <c r="H966" s="2">
        <f t="shared" si="1"/>
        <v>0</v>
      </c>
      <c r="I966" s="2">
        <f t="shared" si="2"/>
        <v>22</v>
      </c>
    </row>
    <row r="967" ht="14.25" customHeight="1">
      <c r="A967" s="18">
        <v>43981.0</v>
      </c>
      <c r="B967" s="13" t="s">
        <v>13</v>
      </c>
      <c r="C967" s="13"/>
      <c r="D967" s="13"/>
      <c r="E967" s="13">
        <f>SUMIFS('Лист2'!C:C, 'Лист2'!A:A, A967, 'Лист2'!B:B, B967)</f>
        <v>17</v>
      </c>
      <c r="F967" s="19">
        <v>1697.0</v>
      </c>
      <c r="G967" s="19">
        <v>1499.0</v>
      </c>
      <c r="H967" s="2">
        <f t="shared" si="1"/>
        <v>0</v>
      </c>
      <c r="I967" s="2">
        <f t="shared" si="2"/>
        <v>22</v>
      </c>
    </row>
    <row r="968" ht="14.25" customHeight="1">
      <c r="A968" s="18">
        <v>43981.0</v>
      </c>
      <c r="B968" s="13" t="s">
        <v>14</v>
      </c>
      <c r="C968" s="13"/>
      <c r="D968" s="13"/>
      <c r="E968" s="13">
        <f>SUMIFS('Лист2'!C:C, 'Лист2'!A:A, A968, 'Лист2'!B:B, B968)</f>
        <v>16</v>
      </c>
      <c r="F968" s="19">
        <v>1048.0</v>
      </c>
      <c r="G968" s="19">
        <v>918.0</v>
      </c>
      <c r="H968" s="2">
        <f t="shared" si="1"/>
        <v>0</v>
      </c>
      <c r="I968" s="2">
        <f t="shared" si="2"/>
        <v>22</v>
      </c>
    </row>
    <row r="969" ht="14.25" customHeight="1">
      <c r="A969" s="18">
        <v>43981.0</v>
      </c>
      <c r="B969" s="13" t="s">
        <v>15</v>
      </c>
      <c r="C969" s="13"/>
      <c r="D969" s="13"/>
      <c r="E969" s="13">
        <f>SUMIFS('Лист2'!C:C, 'Лист2'!A:A, A969, 'Лист2'!B:B, B969)</f>
        <v>15</v>
      </c>
      <c r="F969" s="19">
        <v>490.0</v>
      </c>
      <c r="G969" s="19">
        <v>409.0</v>
      </c>
      <c r="H969" s="2">
        <f t="shared" si="1"/>
        <v>0</v>
      </c>
      <c r="I969" s="2">
        <f t="shared" si="2"/>
        <v>22</v>
      </c>
    </row>
    <row r="970" ht="14.25" customHeight="1">
      <c r="A970" s="18">
        <v>43981.0</v>
      </c>
      <c r="B970" s="13" t="s">
        <v>16</v>
      </c>
      <c r="C970" s="13"/>
      <c r="D970" s="13"/>
      <c r="E970" s="13">
        <f>SUMIFS('Лист2'!C:C, 'Лист2'!A:A, A970, 'Лист2'!B:B, B970)</f>
        <v>124</v>
      </c>
      <c r="F970" s="19">
        <v>24325.0</v>
      </c>
      <c r="G970" s="19">
        <v>22469.0</v>
      </c>
      <c r="H970" s="2">
        <f t="shared" si="1"/>
        <v>0</v>
      </c>
      <c r="I970" s="2">
        <f t="shared" si="2"/>
        <v>22</v>
      </c>
    </row>
    <row r="971" ht="14.25" customHeight="1">
      <c r="A971" s="18">
        <v>43981.0</v>
      </c>
      <c r="B971" s="13" t="s">
        <v>17</v>
      </c>
      <c r="C971" s="13"/>
      <c r="D971" s="13"/>
      <c r="E971" s="13">
        <f>SUMIFS('Лист2'!C:C, 'Лист2'!A:A, A971, 'Лист2'!B:B, B971)</f>
        <v>129</v>
      </c>
      <c r="F971" s="19">
        <v>20243.0</v>
      </c>
      <c r="G971" s="19">
        <v>18711.0</v>
      </c>
      <c r="H971" s="2">
        <f t="shared" si="1"/>
        <v>0</v>
      </c>
      <c r="I971" s="2">
        <f t="shared" si="2"/>
        <v>22</v>
      </c>
    </row>
    <row r="972" ht="14.25" customHeight="1">
      <c r="A972" s="18">
        <v>43981.0</v>
      </c>
      <c r="B972" s="13" t="s">
        <v>18</v>
      </c>
      <c r="C972" s="13"/>
      <c r="D972" s="13"/>
      <c r="E972" s="13">
        <f>SUMIFS('Лист2'!C:C, 'Лист2'!A:A, A972, 'Лист2'!B:B, B972)</f>
        <v>10</v>
      </c>
      <c r="F972" s="19">
        <v>865.0</v>
      </c>
      <c r="G972" s="19">
        <v>763.0</v>
      </c>
      <c r="H972" s="2">
        <f t="shared" si="1"/>
        <v>0</v>
      </c>
      <c r="I972" s="2">
        <f t="shared" si="2"/>
        <v>22</v>
      </c>
    </row>
    <row r="973" ht="14.25" customHeight="1">
      <c r="A973" s="18">
        <v>43981.0</v>
      </c>
      <c r="B973" s="13" t="s">
        <v>20</v>
      </c>
      <c r="C973" s="13"/>
      <c r="D973" s="13"/>
      <c r="E973" s="13">
        <f>SUMIFS('Лист2'!C:C, 'Лист2'!A:A, A973, 'Лист2'!B:B, B973)</f>
        <v>7</v>
      </c>
      <c r="F973" s="19">
        <v>532.0</v>
      </c>
      <c r="G973" s="19">
        <v>449.0</v>
      </c>
      <c r="H973" s="2">
        <f t="shared" si="1"/>
        <v>0</v>
      </c>
      <c r="I973" s="2">
        <f t="shared" si="2"/>
        <v>22</v>
      </c>
    </row>
    <row r="974" ht="14.25" customHeight="1">
      <c r="A974" s="18">
        <v>43982.0</v>
      </c>
      <c r="B974" s="13" t="s">
        <v>4</v>
      </c>
      <c r="C974" s="13"/>
      <c r="D974" s="13"/>
      <c r="E974" s="13">
        <f>SUMIFS('Лист2'!C:C, 'Лист2'!A:A, A974, 'Лист2'!B:B, B974)</f>
        <v>37</v>
      </c>
      <c r="F974" s="19">
        <v>5215.0</v>
      </c>
      <c r="G974" s="19">
        <v>4848.0</v>
      </c>
      <c r="H974" s="2">
        <f t="shared" si="1"/>
        <v>0</v>
      </c>
      <c r="I974" s="2">
        <f t="shared" si="2"/>
        <v>22</v>
      </c>
    </row>
    <row r="975" ht="14.25" customHeight="1">
      <c r="A975" s="18">
        <v>43982.0</v>
      </c>
      <c r="B975" s="13" t="s">
        <v>5</v>
      </c>
      <c r="C975" s="13"/>
      <c r="D975" s="13"/>
      <c r="E975" s="13">
        <f>SUMIFS('Лист2'!C:C, 'Лист2'!A:A, A975, 'Лист2'!B:B, B975)</f>
        <v>31</v>
      </c>
      <c r="F975" s="19">
        <v>5760.0</v>
      </c>
      <c r="G975" s="19">
        <v>5367.0</v>
      </c>
      <c r="H975" s="2">
        <f t="shared" si="1"/>
        <v>0</v>
      </c>
      <c r="I975" s="2">
        <f t="shared" si="2"/>
        <v>22</v>
      </c>
    </row>
    <row r="976" ht="14.25" customHeight="1">
      <c r="A976" s="18">
        <v>43982.0</v>
      </c>
      <c r="B976" s="13" t="s">
        <v>6</v>
      </c>
      <c r="C976" s="13"/>
      <c r="D976" s="13"/>
      <c r="E976" s="13">
        <f>SUMIFS('Лист2'!C:C, 'Лист2'!A:A, A976, 'Лист2'!B:B, B976)</f>
        <v>23</v>
      </c>
      <c r="F976" s="19">
        <v>2522.0</v>
      </c>
      <c r="G976" s="19">
        <v>2295.0</v>
      </c>
      <c r="H976" s="2">
        <f t="shared" si="1"/>
        <v>0</v>
      </c>
      <c r="I976" s="2">
        <f t="shared" si="2"/>
        <v>22</v>
      </c>
    </row>
    <row r="977" ht="14.25" customHeight="1">
      <c r="A977" s="18">
        <v>43982.0</v>
      </c>
      <c r="B977" s="13" t="s">
        <v>7</v>
      </c>
      <c r="C977" s="13"/>
      <c r="D977" s="13"/>
      <c r="E977" s="13">
        <f>SUMIFS('Лист2'!C:C, 'Лист2'!A:A, A977, 'Лист2'!B:B, B977)</f>
        <v>21</v>
      </c>
      <c r="F977" s="19">
        <v>2271.0</v>
      </c>
      <c r="G977" s="19">
        <v>2085.0</v>
      </c>
      <c r="H977" s="2">
        <f t="shared" si="1"/>
        <v>0</v>
      </c>
      <c r="I977" s="2">
        <f t="shared" si="2"/>
        <v>22</v>
      </c>
    </row>
    <row r="978" ht="14.25" customHeight="1">
      <c r="A978" s="18">
        <v>43982.0</v>
      </c>
      <c r="B978" s="13" t="s">
        <v>8</v>
      </c>
      <c r="C978" s="13"/>
      <c r="D978" s="13"/>
      <c r="E978" s="13">
        <f>SUMIFS('Лист2'!C:C, 'Лист2'!A:A, A978, 'Лист2'!B:B, B978)</f>
        <v>21</v>
      </c>
      <c r="F978" s="19">
        <v>2056.0</v>
      </c>
      <c r="G978" s="19">
        <v>1879.0</v>
      </c>
      <c r="H978" s="2">
        <f t="shared" si="1"/>
        <v>0</v>
      </c>
      <c r="I978" s="2">
        <f t="shared" si="2"/>
        <v>22</v>
      </c>
    </row>
    <row r="979" ht="14.25" customHeight="1">
      <c r="A979" s="18">
        <v>43982.0</v>
      </c>
      <c r="B979" s="13" t="s">
        <v>9</v>
      </c>
      <c r="C979" s="13"/>
      <c r="D979" s="13"/>
      <c r="E979" s="13">
        <f>SUMIFS('Лист2'!C:C, 'Лист2'!A:A, A979, 'Лист2'!B:B, B979)</f>
        <v>54</v>
      </c>
      <c r="F979" s="19">
        <v>13106.0</v>
      </c>
      <c r="G979" s="19">
        <v>12164.0</v>
      </c>
      <c r="H979" s="2">
        <f t="shared" si="1"/>
        <v>0</v>
      </c>
      <c r="I979" s="2">
        <f t="shared" si="2"/>
        <v>22</v>
      </c>
    </row>
    <row r="980" ht="14.25" customHeight="1">
      <c r="A980" s="18">
        <v>43982.0</v>
      </c>
      <c r="B980" s="13" t="s">
        <v>10</v>
      </c>
      <c r="C980" s="13"/>
      <c r="D980" s="13"/>
      <c r="E980" s="13">
        <f>SUMIFS('Лист2'!C:C, 'Лист2'!A:A, A980, 'Лист2'!B:B, B980)</f>
        <v>59</v>
      </c>
      <c r="F980" s="19">
        <v>13684.0</v>
      </c>
      <c r="G980" s="19">
        <v>12690.0</v>
      </c>
      <c r="H980" s="2">
        <f t="shared" si="1"/>
        <v>0</v>
      </c>
      <c r="I980" s="2">
        <f t="shared" si="2"/>
        <v>22</v>
      </c>
    </row>
    <row r="981" ht="14.25" customHeight="1">
      <c r="A981" s="18">
        <v>43982.0</v>
      </c>
      <c r="B981" s="13" t="s">
        <v>11</v>
      </c>
      <c r="C981" s="13"/>
      <c r="D981" s="13"/>
      <c r="E981" s="13">
        <f>SUMIFS('Лист2'!C:C, 'Лист2'!A:A, A981, 'Лист2'!B:B, B981)</f>
        <v>20</v>
      </c>
      <c r="F981" s="19">
        <v>2060.0</v>
      </c>
      <c r="G981" s="19">
        <v>1826.0</v>
      </c>
      <c r="H981" s="2">
        <f t="shared" si="1"/>
        <v>0</v>
      </c>
      <c r="I981" s="2">
        <f t="shared" si="2"/>
        <v>22</v>
      </c>
    </row>
    <row r="982" ht="14.25" customHeight="1">
      <c r="A982" s="18">
        <v>43982.0</v>
      </c>
      <c r="B982" s="13" t="s">
        <v>12</v>
      </c>
      <c r="C982" s="13"/>
      <c r="D982" s="13"/>
      <c r="E982" s="13">
        <f>SUMIFS('Лист2'!C:C, 'Лист2'!A:A, A982, 'Лист2'!B:B, B982)</f>
        <v>18</v>
      </c>
      <c r="F982" s="19">
        <v>1029.0</v>
      </c>
      <c r="G982" s="19">
        <v>925.0</v>
      </c>
      <c r="H982" s="2">
        <f t="shared" si="1"/>
        <v>0</v>
      </c>
      <c r="I982" s="2">
        <f t="shared" si="2"/>
        <v>22</v>
      </c>
    </row>
    <row r="983" ht="14.25" customHeight="1">
      <c r="A983" s="18">
        <v>43982.0</v>
      </c>
      <c r="B983" s="13" t="s">
        <v>13</v>
      </c>
      <c r="C983" s="13"/>
      <c r="D983" s="13"/>
      <c r="E983" s="13">
        <f>SUMIFS('Лист2'!C:C, 'Лист2'!A:A, A983, 'Лист2'!B:B, B983)</f>
        <v>17</v>
      </c>
      <c r="F983" s="19">
        <v>1186.0</v>
      </c>
      <c r="G983" s="19">
        <v>1054.0</v>
      </c>
      <c r="H983" s="2">
        <f t="shared" si="1"/>
        <v>0</v>
      </c>
      <c r="I983" s="2">
        <f t="shared" si="2"/>
        <v>22</v>
      </c>
    </row>
    <row r="984" ht="14.25" customHeight="1">
      <c r="A984" s="18">
        <v>43982.0</v>
      </c>
      <c r="B984" s="13" t="s">
        <v>14</v>
      </c>
      <c r="C984" s="13"/>
      <c r="D984" s="13"/>
      <c r="E984" s="13">
        <f>SUMIFS('Лист2'!C:C, 'Лист2'!A:A, A984, 'Лист2'!B:B, B984)</f>
        <v>16</v>
      </c>
      <c r="F984" s="19">
        <v>917.0</v>
      </c>
      <c r="G984" s="19">
        <v>802.0</v>
      </c>
      <c r="H984" s="2">
        <f t="shared" si="1"/>
        <v>0</v>
      </c>
      <c r="I984" s="2">
        <f t="shared" si="2"/>
        <v>22</v>
      </c>
    </row>
    <row r="985" ht="14.25" customHeight="1">
      <c r="A985" s="18">
        <v>43982.0</v>
      </c>
      <c r="B985" s="13" t="s">
        <v>15</v>
      </c>
      <c r="C985" s="13"/>
      <c r="D985" s="13"/>
      <c r="E985" s="13">
        <f>SUMIFS('Лист2'!C:C, 'Лист2'!A:A, A985, 'Лист2'!B:B, B985)</f>
        <v>15</v>
      </c>
      <c r="F985" s="19">
        <v>441.0</v>
      </c>
      <c r="G985" s="19">
        <v>368.0</v>
      </c>
      <c r="H985" s="2">
        <f t="shared" si="1"/>
        <v>0</v>
      </c>
      <c r="I985" s="2">
        <f t="shared" si="2"/>
        <v>22</v>
      </c>
    </row>
    <row r="986" ht="14.25" customHeight="1">
      <c r="A986" s="18">
        <v>43982.0</v>
      </c>
      <c r="B986" s="13" t="s">
        <v>16</v>
      </c>
      <c r="C986" s="13"/>
      <c r="D986" s="13"/>
      <c r="E986" s="13">
        <f>SUMIFS('Лист2'!C:C, 'Лист2'!A:A, A986, 'Лист2'!B:B, B986)</f>
        <v>124</v>
      </c>
      <c r="F986" s="19">
        <v>21392.0</v>
      </c>
      <c r="G986" s="19">
        <v>19869.0</v>
      </c>
      <c r="H986" s="2">
        <f t="shared" si="1"/>
        <v>0</v>
      </c>
      <c r="I986" s="2">
        <f t="shared" si="2"/>
        <v>22</v>
      </c>
    </row>
    <row r="987" ht="14.25" customHeight="1">
      <c r="A987" s="18">
        <v>43982.0</v>
      </c>
      <c r="B987" s="13" t="s">
        <v>17</v>
      </c>
      <c r="C987" s="13"/>
      <c r="D987" s="13"/>
      <c r="E987" s="13">
        <f>SUMIFS('Лист2'!C:C, 'Лист2'!A:A, A987, 'Лист2'!B:B, B987)</f>
        <v>129</v>
      </c>
      <c r="F987" s="19">
        <v>17235.0</v>
      </c>
      <c r="G987" s="19">
        <v>16052.0</v>
      </c>
      <c r="H987" s="2">
        <f t="shared" si="1"/>
        <v>0</v>
      </c>
      <c r="I987" s="2">
        <f t="shared" si="2"/>
        <v>22</v>
      </c>
    </row>
    <row r="988" ht="14.25" customHeight="1">
      <c r="A988" s="18">
        <v>43982.0</v>
      </c>
      <c r="B988" s="13" t="s">
        <v>18</v>
      </c>
      <c r="C988" s="13"/>
      <c r="D988" s="13"/>
      <c r="E988" s="13">
        <f>SUMIFS('Лист2'!C:C, 'Лист2'!A:A, A988, 'Лист2'!B:B, B988)</f>
        <v>10</v>
      </c>
      <c r="F988" s="19">
        <v>749.0</v>
      </c>
      <c r="G988" s="19">
        <v>655.0</v>
      </c>
      <c r="H988" s="2">
        <f t="shared" si="1"/>
        <v>0</v>
      </c>
      <c r="I988" s="2">
        <f t="shared" si="2"/>
        <v>22</v>
      </c>
    </row>
    <row r="989" ht="14.25" customHeight="1">
      <c r="A989" s="18">
        <v>43982.0</v>
      </c>
      <c r="B989" s="13" t="s">
        <v>19</v>
      </c>
      <c r="C989" s="13"/>
      <c r="D989" s="13"/>
      <c r="E989" s="13">
        <f>SUMIFS('Лист2'!C:C, 'Лист2'!A:A, A989, 'Лист2'!B:B, B989)</f>
        <v>9</v>
      </c>
      <c r="F989" s="19">
        <v>345.0</v>
      </c>
      <c r="G989" s="19">
        <v>255.0</v>
      </c>
      <c r="H989" s="2">
        <f t="shared" si="1"/>
        <v>0</v>
      </c>
      <c r="I989" s="2">
        <f t="shared" si="2"/>
        <v>22</v>
      </c>
    </row>
    <row r="990" ht="14.25" customHeight="1">
      <c r="A990" s="18">
        <v>43982.0</v>
      </c>
      <c r="B990" s="13" t="s">
        <v>20</v>
      </c>
      <c r="C990" s="13"/>
      <c r="D990" s="13"/>
      <c r="E990" s="13">
        <f>SUMIFS('Лист2'!C:C, 'Лист2'!A:A, A990, 'Лист2'!B:B, B990)</f>
        <v>7</v>
      </c>
      <c r="F990" s="19">
        <v>530.0</v>
      </c>
      <c r="G990" s="19">
        <v>447.0</v>
      </c>
      <c r="H990" s="2">
        <f t="shared" si="1"/>
        <v>0</v>
      </c>
      <c r="I990" s="2">
        <f t="shared" si="2"/>
        <v>22</v>
      </c>
    </row>
    <row r="991" ht="14.25" customHeight="1">
      <c r="A991" s="18">
        <v>43982.0</v>
      </c>
      <c r="B991" s="13" t="s">
        <v>21</v>
      </c>
      <c r="C991" s="13"/>
      <c r="D991" s="13"/>
      <c r="E991" s="13">
        <f>SUMIFS('Лист2'!C:C, 'Лист2'!A:A, A991, 'Лист2'!B:B, B991)</f>
        <v>6</v>
      </c>
      <c r="F991" s="19">
        <v>261.0</v>
      </c>
      <c r="G991" s="19">
        <v>188.0</v>
      </c>
      <c r="H991" s="2">
        <f t="shared" si="1"/>
        <v>0</v>
      </c>
      <c r="I991" s="2">
        <f t="shared" si="2"/>
        <v>22</v>
      </c>
    </row>
    <row r="992" ht="14.25" customHeight="1">
      <c r="A992" s="18">
        <v>43983.0</v>
      </c>
      <c r="B992" s="13" t="s">
        <v>4</v>
      </c>
      <c r="C992" s="13"/>
      <c r="D992" s="13"/>
      <c r="E992" s="13">
        <f>SUMIFS('Лист2'!C:C, 'Лист2'!A:A, A992, 'Лист2'!B:B, B992)</f>
        <v>37</v>
      </c>
      <c r="F992" s="19">
        <v>4722.0</v>
      </c>
      <c r="G992" s="19">
        <v>4352.0</v>
      </c>
      <c r="H992" s="2">
        <f t="shared" si="1"/>
        <v>0</v>
      </c>
      <c r="I992" s="2">
        <f t="shared" si="2"/>
        <v>23</v>
      </c>
    </row>
    <row r="993" ht="14.25" customHeight="1">
      <c r="A993" s="18">
        <v>43983.0</v>
      </c>
      <c r="B993" s="13" t="s">
        <v>5</v>
      </c>
      <c r="C993" s="13"/>
      <c r="D993" s="13"/>
      <c r="E993" s="13">
        <f>SUMIFS('Лист2'!C:C, 'Лист2'!A:A, A993, 'Лист2'!B:B, B993)</f>
        <v>31</v>
      </c>
      <c r="F993" s="19">
        <v>5468.0</v>
      </c>
      <c r="G993" s="19">
        <v>5081.0</v>
      </c>
      <c r="H993" s="2">
        <f t="shared" si="1"/>
        <v>0</v>
      </c>
      <c r="I993" s="2">
        <f t="shared" si="2"/>
        <v>23</v>
      </c>
    </row>
    <row r="994" ht="14.25" customHeight="1">
      <c r="A994" s="18">
        <v>43983.0</v>
      </c>
      <c r="B994" s="13" t="s">
        <v>6</v>
      </c>
      <c r="C994" s="13"/>
      <c r="D994" s="13"/>
      <c r="E994" s="13">
        <f>SUMIFS('Лист2'!C:C, 'Лист2'!A:A, A994, 'Лист2'!B:B, B994)</f>
        <v>23</v>
      </c>
      <c r="F994" s="19">
        <v>2531.0</v>
      </c>
      <c r="G994" s="19">
        <v>2296.0</v>
      </c>
      <c r="H994" s="2">
        <f t="shared" si="1"/>
        <v>0</v>
      </c>
      <c r="I994" s="2">
        <f t="shared" si="2"/>
        <v>23</v>
      </c>
    </row>
    <row r="995" ht="14.25" customHeight="1">
      <c r="A995" s="18">
        <v>43983.0</v>
      </c>
      <c r="B995" s="13" t="s">
        <v>7</v>
      </c>
      <c r="C995" s="13"/>
      <c r="D995" s="13"/>
      <c r="E995" s="13">
        <f>SUMIFS('Лист2'!C:C, 'Лист2'!A:A, A995, 'Лист2'!B:B, B995)</f>
        <v>21</v>
      </c>
      <c r="F995" s="19">
        <v>2025.0</v>
      </c>
      <c r="G995" s="19">
        <v>1849.0</v>
      </c>
      <c r="H995" s="2">
        <f t="shared" si="1"/>
        <v>0</v>
      </c>
      <c r="I995" s="2">
        <f t="shared" si="2"/>
        <v>23</v>
      </c>
    </row>
    <row r="996" ht="14.25" customHeight="1">
      <c r="A996" s="18">
        <v>43983.0</v>
      </c>
      <c r="B996" s="13" t="s">
        <v>8</v>
      </c>
      <c r="C996" s="13"/>
      <c r="D996" s="13"/>
      <c r="E996" s="13">
        <f>SUMIFS('Лист2'!C:C, 'Лист2'!A:A, A996, 'Лист2'!B:B, B996)</f>
        <v>21</v>
      </c>
      <c r="F996" s="19">
        <v>1879.0</v>
      </c>
      <c r="G996" s="19">
        <v>1720.0</v>
      </c>
      <c r="H996" s="2">
        <f t="shared" si="1"/>
        <v>0</v>
      </c>
      <c r="I996" s="2">
        <f t="shared" si="2"/>
        <v>23</v>
      </c>
    </row>
    <row r="997" ht="14.25" customHeight="1">
      <c r="A997" s="18">
        <v>43983.0</v>
      </c>
      <c r="B997" s="13" t="s">
        <v>9</v>
      </c>
      <c r="C997" s="13"/>
      <c r="D997" s="13"/>
      <c r="E997" s="13">
        <f>SUMIFS('Лист2'!C:C, 'Лист2'!A:A, A997, 'Лист2'!B:B, B997)</f>
        <v>54</v>
      </c>
      <c r="F997" s="19">
        <v>11864.0</v>
      </c>
      <c r="G997" s="19">
        <v>11071.0</v>
      </c>
      <c r="H997" s="2">
        <f t="shared" si="1"/>
        <v>0</v>
      </c>
      <c r="I997" s="2">
        <f t="shared" si="2"/>
        <v>23</v>
      </c>
    </row>
    <row r="998" ht="14.25" customHeight="1">
      <c r="A998" s="18">
        <v>43983.0</v>
      </c>
      <c r="B998" s="13" t="s">
        <v>10</v>
      </c>
      <c r="C998" s="13"/>
      <c r="D998" s="13"/>
      <c r="E998" s="13">
        <f>SUMIFS('Лист2'!C:C, 'Лист2'!A:A, A998, 'Лист2'!B:B, B998)</f>
        <v>59</v>
      </c>
      <c r="F998" s="19">
        <v>12299.0</v>
      </c>
      <c r="G998" s="19">
        <v>11448.0</v>
      </c>
      <c r="H998" s="2">
        <f t="shared" si="1"/>
        <v>0</v>
      </c>
      <c r="I998" s="2">
        <f t="shared" si="2"/>
        <v>23</v>
      </c>
    </row>
    <row r="999" ht="14.25" customHeight="1">
      <c r="A999" s="18">
        <v>43983.0</v>
      </c>
      <c r="B999" s="13" t="s">
        <v>11</v>
      </c>
      <c r="C999" s="13"/>
      <c r="D999" s="13"/>
      <c r="E999" s="13">
        <f>SUMIFS('Лист2'!C:C, 'Лист2'!A:A, A999, 'Лист2'!B:B, B999)</f>
        <v>20</v>
      </c>
      <c r="F999" s="19">
        <v>2136.0</v>
      </c>
      <c r="G999" s="19">
        <v>1899.0</v>
      </c>
      <c r="H999" s="2">
        <f t="shared" si="1"/>
        <v>0</v>
      </c>
      <c r="I999" s="2">
        <f t="shared" si="2"/>
        <v>23</v>
      </c>
    </row>
    <row r="1000" ht="14.25" customHeight="1">
      <c r="A1000" s="18">
        <v>43983.0</v>
      </c>
      <c r="B1000" s="13" t="s">
        <v>12</v>
      </c>
      <c r="C1000" s="13"/>
      <c r="D1000" s="13"/>
      <c r="E1000" s="13">
        <f>SUMIFS('Лист2'!C:C, 'Лист2'!A:A, A1000, 'Лист2'!B:B, B1000)</f>
        <v>18</v>
      </c>
      <c r="F1000" s="19">
        <v>923.0</v>
      </c>
      <c r="G1000" s="19">
        <v>824.0</v>
      </c>
      <c r="H1000" s="2">
        <f t="shared" si="1"/>
        <v>0</v>
      </c>
      <c r="I1000" s="2">
        <f t="shared" si="2"/>
        <v>23</v>
      </c>
    </row>
    <row r="1001" ht="14.25" customHeight="1">
      <c r="A1001" s="18">
        <v>43983.0</v>
      </c>
      <c r="B1001" s="13" t="s">
        <v>13</v>
      </c>
      <c r="C1001" s="13"/>
      <c r="D1001" s="13"/>
      <c r="E1001" s="13">
        <f>SUMIFS('Лист2'!C:C, 'Лист2'!A:A, A1001, 'Лист2'!B:B, B1001)</f>
        <v>17</v>
      </c>
      <c r="F1001" s="19">
        <v>1185.0</v>
      </c>
      <c r="G1001" s="19">
        <v>1042.0</v>
      </c>
      <c r="H1001" s="2">
        <f t="shared" si="1"/>
        <v>0</v>
      </c>
      <c r="I1001" s="2">
        <f t="shared" si="2"/>
        <v>23</v>
      </c>
    </row>
    <row r="1002" ht="14.25" customHeight="1">
      <c r="A1002" s="18">
        <v>43983.0</v>
      </c>
      <c r="B1002" s="13" t="s">
        <v>14</v>
      </c>
      <c r="C1002" s="13"/>
      <c r="D1002" s="13"/>
      <c r="E1002" s="13">
        <f>SUMIFS('Лист2'!C:C, 'Лист2'!A:A, A1002, 'Лист2'!B:B, B1002)</f>
        <v>16</v>
      </c>
      <c r="F1002" s="19">
        <v>1019.0</v>
      </c>
      <c r="G1002" s="19">
        <v>895.0</v>
      </c>
      <c r="H1002" s="2">
        <f t="shared" si="1"/>
        <v>0</v>
      </c>
      <c r="I1002" s="2">
        <f t="shared" si="2"/>
        <v>23</v>
      </c>
    </row>
    <row r="1003" ht="14.25" customHeight="1">
      <c r="A1003" s="18">
        <v>43983.0</v>
      </c>
      <c r="B1003" s="13" t="s">
        <v>15</v>
      </c>
      <c r="C1003" s="13"/>
      <c r="D1003" s="13"/>
      <c r="E1003" s="13">
        <f>SUMIFS('Лист2'!C:C, 'Лист2'!A:A, A1003, 'Лист2'!B:B, B1003)</f>
        <v>15</v>
      </c>
      <c r="F1003" s="19">
        <v>453.0</v>
      </c>
      <c r="G1003" s="19">
        <v>370.0</v>
      </c>
      <c r="H1003" s="2">
        <f t="shared" si="1"/>
        <v>0</v>
      </c>
      <c r="I1003" s="2">
        <f t="shared" si="2"/>
        <v>23</v>
      </c>
    </row>
    <row r="1004" ht="14.25" customHeight="1">
      <c r="A1004" s="18">
        <v>43983.0</v>
      </c>
      <c r="B1004" s="13" t="s">
        <v>16</v>
      </c>
      <c r="C1004" s="13"/>
      <c r="D1004" s="13"/>
      <c r="E1004" s="13">
        <f>SUMIFS('Лист2'!C:C, 'Лист2'!A:A, A1004, 'Лист2'!B:B, B1004)</f>
        <v>123</v>
      </c>
      <c r="F1004" s="19">
        <v>20325.0</v>
      </c>
      <c r="G1004" s="19">
        <v>18935.0</v>
      </c>
      <c r="H1004" s="2">
        <f t="shared" si="1"/>
        <v>0</v>
      </c>
      <c r="I1004" s="2">
        <f t="shared" si="2"/>
        <v>23</v>
      </c>
    </row>
    <row r="1005" ht="14.25" customHeight="1">
      <c r="A1005" s="18">
        <v>43983.0</v>
      </c>
      <c r="B1005" s="13" t="s">
        <v>17</v>
      </c>
      <c r="C1005" s="13"/>
      <c r="D1005" s="13"/>
      <c r="E1005" s="13">
        <f>SUMIFS('Лист2'!C:C, 'Лист2'!A:A, A1005, 'Лист2'!B:B, B1005)</f>
        <v>128</v>
      </c>
      <c r="F1005" s="19">
        <v>16285.0</v>
      </c>
      <c r="G1005" s="19">
        <v>15130.0</v>
      </c>
      <c r="H1005" s="2">
        <f t="shared" si="1"/>
        <v>0</v>
      </c>
      <c r="I1005" s="2">
        <f t="shared" si="2"/>
        <v>23</v>
      </c>
    </row>
    <row r="1006" ht="14.25" customHeight="1">
      <c r="A1006" s="18">
        <v>43983.0</v>
      </c>
      <c r="B1006" s="13" t="s">
        <v>18</v>
      </c>
      <c r="C1006" s="13"/>
      <c r="D1006" s="13"/>
      <c r="E1006" s="13">
        <f>SUMIFS('Лист2'!C:C, 'Лист2'!A:A, A1006, 'Лист2'!B:B, B1006)</f>
        <v>10</v>
      </c>
      <c r="F1006" s="19">
        <v>719.0</v>
      </c>
      <c r="G1006" s="19">
        <v>627.0</v>
      </c>
      <c r="H1006" s="2">
        <f t="shared" si="1"/>
        <v>0</v>
      </c>
      <c r="I1006" s="2">
        <f t="shared" si="2"/>
        <v>23</v>
      </c>
    </row>
    <row r="1007" ht="14.25" customHeight="1">
      <c r="A1007" s="18">
        <v>43983.0</v>
      </c>
      <c r="B1007" s="13" t="s">
        <v>19</v>
      </c>
      <c r="C1007" s="13"/>
      <c r="D1007" s="13"/>
      <c r="E1007" s="13">
        <f>SUMIFS('Лист2'!C:C, 'Лист2'!A:A, A1007, 'Лист2'!B:B, B1007)</f>
        <v>9</v>
      </c>
      <c r="F1007" s="19">
        <v>294.0</v>
      </c>
      <c r="G1007" s="19">
        <v>224.0</v>
      </c>
      <c r="H1007" s="2">
        <f t="shared" si="1"/>
        <v>0</v>
      </c>
      <c r="I1007" s="2">
        <f t="shared" si="2"/>
        <v>23</v>
      </c>
    </row>
    <row r="1008" ht="14.25" customHeight="1">
      <c r="A1008" s="18">
        <v>43983.0</v>
      </c>
      <c r="B1008" s="13" t="s">
        <v>20</v>
      </c>
      <c r="C1008" s="13"/>
      <c r="D1008" s="13"/>
      <c r="E1008" s="13">
        <f>SUMIFS('Лист2'!C:C, 'Лист2'!A:A, A1008, 'Лист2'!B:B, B1008)</f>
        <v>7</v>
      </c>
      <c r="F1008" s="19">
        <v>500.0</v>
      </c>
      <c r="G1008" s="19">
        <v>418.0</v>
      </c>
      <c r="H1008" s="2">
        <f t="shared" si="1"/>
        <v>0</v>
      </c>
      <c r="I1008" s="2">
        <f t="shared" si="2"/>
        <v>23</v>
      </c>
    </row>
    <row r="1009" ht="14.25" customHeight="1">
      <c r="A1009" s="18">
        <v>43983.0</v>
      </c>
      <c r="B1009" s="13" t="s">
        <v>21</v>
      </c>
      <c r="C1009" s="13"/>
      <c r="D1009" s="13"/>
      <c r="E1009" s="13">
        <f>SUMIFS('Лист2'!C:C, 'Лист2'!A:A, A1009, 'Лист2'!B:B, B1009)</f>
        <v>6</v>
      </c>
      <c r="F1009" s="19">
        <v>237.0</v>
      </c>
      <c r="G1009" s="19">
        <v>175.0</v>
      </c>
      <c r="H1009" s="2">
        <f t="shared" si="1"/>
        <v>0</v>
      </c>
      <c r="I1009" s="2">
        <f t="shared" si="2"/>
        <v>23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8" t="s">
        <v>29</v>
      </c>
      <c r="B1" s="8" t="s">
        <v>1</v>
      </c>
      <c r="C1" s="8" t="s">
        <v>32</v>
      </c>
      <c r="D1" s="8" t="s">
        <v>33</v>
      </c>
      <c r="E1" s="8" t="s">
        <v>34</v>
      </c>
    </row>
    <row r="2" ht="14.25" customHeight="1">
      <c r="A2" s="18">
        <v>43949.0</v>
      </c>
      <c r="B2" s="13" t="s">
        <v>4</v>
      </c>
      <c r="C2" s="13">
        <v>36.0</v>
      </c>
      <c r="D2" s="13">
        <v>4923.0</v>
      </c>
      <c r="E2" s="13">
        <v>4560.0</v>
      </c>
    </row>
    <row r="3" ht="14.25" customHeight="1">
      <c r="A3" s="18">
        <v>43949.0</v>
      </c>
      <c r="B3" s="13" t="s">
        <v>5</v>
      </c>
      <c r="C3" s="13">
        <v>31.0</v>
      </c>
      <c r="D3" s="13">
        <v>5465.0</v>
      </c>
      <c r="E3" s="13">
        <v>5096.0</v>
      </c>
    </row>
    <row r="4" ht="14.25" customHeight="1">
      <c r="A4" s="18">
        <v>43949.0</v>
      </c>
      <c r="B4" s="13" t="s">
        <v>6</v>
      </c>
      <c r="C4" s="13">
        <v>19.0</v>
      </c>
      <c r="D4" s="13">
        <v>1846.0</v>
      </c>
      <c r="E4" s="13">
        <v>1681.0</v>
      </c>
    </row>
    <row r="5" ht="14.25" customHeight="1">
      <c r="A5" s="18">
        <v>43949.0</v>
      </c>
      <c r="B5" s="13" t="s">
        <v>7</v>
      </c>
      <c r="C5" s="13">
        <v>18.0</v>
      </c>
      <c r="D5" s="13">
        <v>1539.0</v>
      </c>
      <c r="E5" s="13">
        <v>1404.0</v>
      </c>
    </row>
    <row r="6" ht="14.25" customHeight="1">
      <c r="A6" s="18">
        <v>43949.0</v>
      </c>
      <c r="B6" s="13" t="s">
        <v>8</v>
      </c>
      <c r="C6" s="13">
        <v>18.0</v>
      </c>
      <c r="D6" s="13">
        <v>1505.0</v>
      </c>
      <c r="E6" s="13">
        <v>1368.0</v>
      </c>
    </row>
    <row r="7" ht="14.25" customHeight="1">
      <c r="A7" s="18">
        <v>43949.0</v>
      </c>
      <c r="B7" s="13" t="s">
        <v>9</v>
      </c>
      <c r="C7" s="13">
        <v>54.0</v>
      </c>
      <c r="D7" s="13">
        <v>12306.0</v>
      </c>
      <c r="E7" s="13">
        <v>11532.0</v>
      </c>
    </row>
    <row r="8" ht="14.25" customHeight="1">
      <c r="A8" s="18">
        <v>43949.0</v>
      </c>
      <c r="B8" s="13" t="s">
        <v>10</v>
      </c>
      <c r="C8" s="13">
        <v>59.0</v>
      </c>
      <c r="D8" s="13">
        <v>12943.0</v>
      </c>
      <c r="E8" s="13">
        <v>12072.0</v>
      </c>
    </row>
    <row r="9" ht="14.25" customHeight="1">
      <c r="A9" s="18">
        <v>43949.0</v>
      </c>
      <c r="B9" s="13" t="s">
        <v>11</v>
      </c>
      <c r="C9" s="13">
        <v>17.0</v>
      </c>
      <c r="D9" s="13">
        <v>1439.0</v>
      </c>
      <c r="E9" s="13">
        <v>1265.0</v>
      </c>
    </row>
    <row r="10" ht="14.25" customHeight="1">
      <c r="A10" s="18">
        <v>43949.0</v>
      </c>
      <c r="B10" s="13" t="s">
        <v>12</v>
      </c>
      <c r="C10" s="13">
        <v>15.0</v>
      </c>
      <c r="D10" s="13">
        <v>636.0</v>
      </c>
      <c r="E10" s="13">
        <v>547.0</v>
      </c>
    </row>
    <row r="11" ht="14.25" customHeight="1">
      <c r="A11" s="18">
        <v>43949.0</v>
      </c>
      <c r="B11" s="13" t="s">
        <v>13</v>
      </c>
      <c r="C11" s="13">
        <v>15.0</v>
      </c>
      <c r="D11" s="13">
        <v>780.0</v>
      </c>
      <c r="E11" s="13">
        <v>690.0</v>
      </c>
    </row>
    <row r="12" ht="14.25" customHeight="1">
      <c r="A12" s="18">
        <v>43949.0</v>
      </c>
      <c r="B12" s="13" t="s">
        <v>16</v>
      </c>
      <c r="C12" s="13">
        <v>125.0</v>
      </c>
      <c r="D12" s="13">
        <v>20914.0</v>
      </c>
      <c r="E12" s="13">
        <v>19479.0</v>
      </c>
    </row>
    <row r="13" ht="14.25" customHeight="1">
      <c r="A13" s="18">
        <v>43949.0</v>
      </c>
      <c r="B13" s="13" t="s">
        <v>17</v>
      </c>
      <c r="C13" s="13">
        <v>128.0</v>
      </c>
      <c r="D13" s="13">
        <v>16450.0</v>
      </c>
      <c r="E13" s="13">
        <v>15320.0</v>
      </c>
    </row>
    <row r="14" ht="14.25" customHeight="1">
      <c r="A14" s="18">
        <v>43949.0</v>
      </c>
      <c r="B14" s="13" t="s">
        <v>18</v>
      </c>
      <c r="C14" s="13">
        <v>10.0</v>
      </c>
      <c r="D14" s="13">
        <v>580.0</v>
      </c>
      <c r="E14" s="13">
        <v>506.0</v>
      </c>
    </row>
    <row r="15" ht="14.25" customHeight="1">
      <c r="A15" s="18">
        <v>43950.0</v>
      </c>
      <c r="B15" s="13" t="s">
        <v>4</v>
      </c>
      <c r="C15" s="13">
        <v>36.0</v>
      </c>
      <c r="D15" s="13">
        <v>4937.0</v>
      </c>
      <c r="E15" s="13">
        <v>4561.0</v>
      </c>
    </row>
    <row r="16" ht="14.25" customHeight="1">
      <c r="A16" s="18">
        <v>43950.0</v>
      </c>
      <c r="B16" s="13" t="s">
        <v>5</v>
      </c>
      <c r="C16" s="13">
        <v>31.0</v>
      </c>
      <c r="D16" s="13">
        <v>5378.0</v>
      </c>
      <c r="E16" s="13">
        <v>4985.0</v>
      </c>
    </row>
    <row r="17" ht="14.25" customHeight="1">
      <c r="A17" s="18">
        <v>43950.0</v>
      </c>
      <c r="B17" s="13" t="s">
        <v>6</v>
      </c>
      <c r="C17" s="13">
        <v>19.0</v>
      </c>
      <c r="D17" s="13">
        <v>1676.0</v>
      </c>
      <c r="E17" s="13">
        <v>1516.0</v>
      </c>
    </row>
    <row r="18" ht="14.25" customHeight="1">
      <c r="A18" s="18">
        <v>43950.0</v>
      </c>
      <c r="B18" s="13" t="s">
        <v>7</v>
      </c>
      <c r="C18" s="13">
        <v>18.0</v>
      </c>
      <c r="D18" s="13">
        <v>1684.0</v>
      </c>
      <c r="E18" s="13">
        <v>1528.0</v>
      </c>
    </row>
    <row r="19" ht="14.25" customHeight="1">
      <c r="A19" s="18">
        <v>43950.0</v>
      </c>
      <c r="B19" s="13" t="s">
        <v>8</v>
      </c>
      <c r="C19" s="13">
        <v>18.0</v>
      </c>
      <c r="D19" s="13">
        <v>1599.0</v>
      </c>
      <c r="E19" s="13">
        <v>1450.0</v>
      </c>
    </row>
    <row r="20" ht="14.25" customHeight="1">
      <c r="A20" s="18">
        <v>43950.0</v>
      </c>
      <c r="B20" s="13" t="s">
        <v>9</v>
      </c>
      <c r="C20" s="13">
        <v>54.0</v>
      </c>
      <c r="D20" s="13">
        <v>12747.0</v>
      </c>
      <c r="E20" s="13">
        <v>11884.0</v>
      </c>
    </row>
    <row r="21" ht="14.25" customHeight="1">
      <c r="A21" s="18">
        <v>43950.0</v>
      </c>
      <c r="B21" s="13" t="s">
        <v>10</v>
      </c>
      <c r="C21" s="13">
        <v>59.0</v>
      </c>
      <c r="D21" s="13">
        <v>13186.0</v>
      </c>
      <c r="E21" s="13">
        <v>12251.0</v>
      </c>
    </row>
    <row r="22" ht="14.25" customHeight="1">
      <c r="A22" s="18">
        <v>43950.0</v>
      </c>
      <c r="B22" s="13" t="s">
        <v>11</v>
      </c>
      <c r="C22" s="13">
        <v>18.0</v>
      </c>
      <c r="D22" s="13">
        <v>1534.0</v>
      </c>
      <c r="E22" s="13">
        <v>1369.0</v>
      </c>
    </row>
    <row r="23" ht="14.25" customHeight="1">
      <c r="A23" s="18">
        <v>43950.0</v>
      </c>
      <c r="B23" s="13" t="s">
        <v>12</v>
      </c>
      <c r="C23" s="13">
        <v>15.0</v>
      </c>
      <c r="D23" s="13">
        <v>659.0</v>
      </c>
      <c r="E23" s="13">
        <v>575.0</v>
      </c>
    </row>
    <row r="24" ht="14.25" customHeight="1">
      <c r="A24" s="18">
        <v>43950.0</v>
      </c>
      <c r="B24" s="13" t="s">
        <v>13</v>
      </c>
      <c r="C24" s="13">
        <v>15.0</v>
      </c>
      <c r="D24" s="13">
        <v>786.0</v>
      </c>
      <c r="E24" s="13">
        <v>695.0</v>
      </c>
    </row>
    <row r="25" ht="14.25" customHeight="1">
      <c r="A25" s="18">
        <v>43950.0</v>
      </c>
      <c r="B25" s="13" t="s">
        <v>16</v>
      </c>
      <c r="C25" s="13">
        <v>125.0</v>
      </c>
      <c r="D25" s="13">
        <v>21863.0</v>
      </c>
      <c r="E25" s="13">
        <v>20160.0</v>
      </c>
    </row>
    <row r="26" ht="14.25" customHeight="1">
      <c r="A26" s="18">
        <v>43950.0</v>
      </c>
      <c r="B26" s="13" t="s">
        <v>17</v>
      </c>
      <c r="C26" s="13">
        <v>128.0</v>
      </c>
      <c r="D26" s="13">
        <v>17368.0</v>
      </c>
      <c r="E26" s="13">
        <v>16077.0</v>
      </c>
    </row>
    <row r="27" ht="14.25" customHeight="1">
      <c r="A27" s="18">
        <v>43950.0</v>
      </c>
      <c r="B27" s="13" t="s">
        <v>18</v>
      </c>
      <c r="C27" s="13">
        <v>10.0</v>
      </c>
      <c r="D27" s="13">
        <v>502.0</v>
      </c>
      <c r="E27" s="13">
        <v>433.0</v>
      </c>
    </row>
    <row r="28" ht="14.25" customHeight="1">
      <c r="A28" s="18">
        <v>43951.0</v>
      </c>
      <c r="B28" s="13" t="s">
        <v>4</v>
      </c>
      <c r="C28" s="13">
        <v>36.0</v>
      </c>
      <c r="D28" s="13">
        <v>5143.0</v>
      </c>
      <c r="E28" s="13">
        <v>4715.0</v>
      </c>
    </row>
    <row r="29" ht="14.25" customHeight="1">
      <c r="A29" s="18">
        <v>43951.0</v>
      </c>
      <c r="B29" s="13" t="s">
        <v>5</v>
      </c>
      <c r="C29" s="13">
        <v>31.0</v>
      </c>
      <c r="D29" s="13">
        <v>5120.0</v>
      </c>
      <c r="E29" s="13">
        <v>4737.0</v>
      </c>
    </row>
    <row r="30" ht="14.25" customHeight="1">
      <c r="A30" s="18">
        <v>43951.0</v>
      </c>
      <c r="B30" s="13" t="s">
        <v>6</v>
      </c>
      <c r="C30" s="13">
        <v>20.0</v>
      </c>
      <c r="D30" s="13">
        <v>1756.0</v>
      </c>
      <c r="E30" s="13">
        <v>1586.0</v>
      </c>
    </row>
    <row r="31" ht="14.25" customHeight="1">
      <c r="A31" s="18">
        <v>43951.0</v>
      </c>
      <c r="B31" s="13" t="s">
        <v>7</v>
      </c>
      <c r="C31" s="13">
        <v>19.0</v>
      </c>
      <c r="D31" s="13">
        <v>1712.0</v>
      </c>
      <c r="E31" s="13">
        <v>1552.0</v>
      </c>
    </row>
    <row r="32" ht="14.25" customHeight="1">
      <c r="A32" s="18">
        <v>43951.0</v>
      </c>
      <c r="B32" s="13" t="s">
        <v>8</v>
      </c>
      <c r="C32" s="13">
        <v>19.0</v>
      </c>
      <c r="D32" s="13">
        <v>1662.0</v>
      </c>
      <c r="E32" s="13">
        <v>1506.0</v>
      </c>
    </row>
    <row r="33" ht="14.25" customHeight="1">
      <c r="A33" s="18">
        <v>43951.0</v>
      </c>
      <c r="B33" s="13" t="s">
        <v>9</v>
      </c>
      <c r="C33" s="13">
        <v>54.0</v>
      </c>
      <c r="D33" s="13">
        <v>12817.0</v>
      </c>
      <c r="E33" s="13">
        <v>11865.0</v>
      </c>
    </row>
    <row r="34" ht="14.25" customHeight="1">
      <c r="A34" s="18">
        <v>43951.0</v>
      </c>
      <c r="B34" s="13" t="s">
        <v>10</v>
      </c>
      <c r="C34" s="13">
        <v>59.0</v>
      </c>
      <c r="D34" s="13">
        <v>13251.0</v>
      </c>
      <c r="E34" s="13">
        <v>12255.0</v>
      </c>
    </row>
    <row r="35" ht="14.25" customHeight="1">
      <c r="A35" s="18">
        <v>43951.0</v>
      </c>
      <c r="B35" s="13" t="s">
        <v>11</v>
      </c>
      <c r="C35" s="13">
        <v>19.0</v>
      </c>
      <c r="D35" s="13">
        <v>1499.0</v>
      </c>
      <c r="E35" s="13">
        <v>1322.0</v>
      </c>
    </row>
    <row r="36" ht="14.25" customHeight="1">
      <c r="A36" s="18">
        <v>43951.0</v>
      </c>
      <c r="B36" s="13" t="s">
        <v>12</v>
      </c>
      <c r="C36" s="13">
        <v>15.0</v>
      </c>
      <c r="D36" s="13">
        <v>644.0</v>
      </c>
      <c r="E36" s="13">
        <v>550.0</v>
      </c>
    </row>
    <row r="37" ht="14.25" customHeight="1">
      <c r="A37" s="18">
        <v>43951.0</v>
      </c>
      <c r="B37" s="13" t="s">
        <v>13</v>
      </c>
      <c r="C37" s="13">
        <v>15.0</v>
      </c>
      <c r="D37" s="13">
        <v>791.0</v>
      </c>
      <c r="E37" s="13">
        <v>691.0</v>
      </c>
    </row>
    <row r="38" ht="14.25" customHeight="1">
      <c r="A38" s="18">
        <v>43951.0</v>
      </c>
      <c r="B38" s="13" t="s">
        <v>14</v>
      </c>
      <c r="C38" s="13">
        <v>15.0</v>
      </c>
      <c r="D38" s="13">
        <v>262.0</v>
      </c>
      <c r="E38" s="13">
        <v>195.0</v>
      </c>
    </row>
    <row r="39" ht="14.25" customHeight="1">
      <c r="A39" s="18">
        <v>43951.0</v>
      </c>
      <c r="B39" s="13" t="s">
        <v>16</v>
      </c>
      <c r="C39" s="13">
        <v>125.0</v>
      </c>
      <c r="D39" s="13">
        <v>22368.0</v>
      </c>
      <c r="E39" s="13">
        <v>20625.0</v>
      </c>
    </row>
    <row r="40" ht="14.25" customHeight="1">
      <c r="A40" s="18">
        <v>43951.0</v>
      </c>
      <c r="B40" s="13" t="s">
        <v>17</v>
      </c>
      <c r="C40" s="13">
        <v>129.0</v>
      </c>
      <c r="D40" s="13">
        <v>18042.0</v>
      </c>
      <c r="E40" s="13">
        <v>16631.0</v>
      </c>
    </row>
    <row r="41" ht="14.25" customHeight="1">
      <c r="A41" s="18">
        <v>43951.0</v>
      </c>
      <c r="B41" s="13" t="s">
        <v>18</v>
      </c>
      <c r="C41" s="13">
        <v>10.0</v>
      </c>
      <c r="D41" s="13">
        <v>448.0</v>
      </c>
      <c r="E41" s="13">
        <v>376.0</v>
      </c>
    </row>
    <row r="42" ht="14.25" customHeight="1">
      <c r="A42" s="18">
        <v>43952.0</v>
      </c>
      <c r="B42" s="13" t="s">
        <v>4</v>
      </c>
      <c r="C42" s="13">
        <v>36.0</v>
      </c>
      <c r="D42" s="13">
        <v>5457.0</v>
      </c>
      <c r="E42" s="13">
        <v>4916.0</v>
      </c>
    </row>
    <row r="43" ht="14.25" customHeight="1">
      <c r="A43" s="18">
        <v>43952.0</v>
      </c>
      <c r="B43" s="13" t="s">
        <v>5</v>
      </c>
      <c r="C43" s="13">
        <v>31.0</v>
      </c>
      <c r="D43" s="13">
        <v>6118.0</v>
      </c>
      <c r="E43" s="13">
        <v>5564.0</v>
      </c>
    </row>
    <row r="44" ht="14.25" customHeight="1">
      <c r="A44" s="18">
        <v>43952.0</v>
      </c>
      <c r="B44" s="13" t="s">
        <v>6</v>
      </c>
      <c r="C44" s="13">
        <v>20.0</v>
      </c>
      <c r="D44" s="13">
        <v>2468.0</v>
      </c>
      <c r="E44" s="13">
        <v>2221.0</v>
      </c>
    </row>
    <row r="45" ht="14.25" customHeight="1">
      <c r="A45" s="18">
        <v>43952.0</v>
      </c>
      <c r="B45" s="13" t="s">
        <v>7</v>
      </c>
      <c r="C45" s="13">
        <v>18.0</v>
      </c>
      <c r="D45" s="13">
        <v>1826.0</v>
      </c>
      <c r="E45" s="13">
        <v>1633.0</v>
      </c>
    </row>
    <row r="46" ht="14.25" customHeight="1">
      <c r="A46" s="18">
        <v>43952.0</v>
      </c>
      <c r="B46" s="13" t="s">
        <v>8</v>
      </c>
      <c r="C46" s="13">
        <v>19.0</v>
      </c>
      <c r="D46" s="13">
        <v>1987.0</v>
      </c>
      <c r="E46" s="13">
        <v>1791.0</v>
      </c>
    </row>
    <row r="47" ht="14.25" customHeight="1">
      <c r="A47" s="18">
        <v>43952.0</v>
      </c>
      <c r="B47" s="13" t="s">
        <v>9</v>
      </c>
      <c r="C47" s="13">
        <v>54.0</v>
      </c>
      <c r="D47" s="13">
        <v>14205.0</v>
      </c>
      <c r="E47" s="13">
        <v>13026.0</v>
      </c>
    </row>
    <row r="48" ht="14.25" customHeight="1">
      <c r="A48" s="18">
        <v>43952.0</v>
      </c>
      <c r="B48" s="13" t="s">
        <v>10</v>
      </c>
      <c r="C48" s="13">
        <v>59.0</v>
      </c>
      <c r="D48" s="13">
        <v>15222.0</v>
      </c>
      <c r="E48" s="13">
        <v>13873.0</v>
      </c>
    </row>
    <row r="49" ht="14.25" customHeight="1">
      <c r="A49" s="18">
        <v>43952.0</v>
      </c>
      <c r="B49" s="13" t="s">
        <v>11</v>
      </c>
      <c r="C49" s="13">
        <v>19.0</v>
      </c>
      <c r="D49" s="13">
        <v>1497.0</v>
      </c>
      <c r="E49" s="13">
        <v>1291.0</v>
      </c>
    </row>
    <row r="50" ht="14.25" customHeight="1">
      <c r="A50" s="18">
        <v>43952.0</v>
      </c>
      <c r="B50" s="13" t="s">
        <v>12</v>
      </c>
      <c r="C50" s="13">
        <v>15.0</v>
      </c>
      <c r="D50" s="13">
        <v>721.0</v>
      </c>
      <c r="E50" s="13">
        <v>625.0</v>
      </c>
    </row>
    <row r="51" ht="14.25" customHeight="1">
      <c r="A51" s="18">
        <v>43952.0</v>
      </c>
      <c r="B51" s="13" t="s">
        <v>13</v>
      </c>
      <c r="C51" s="13">
        <v>15.0</v>
      </c>
      <c r="D51" s="13">
        <v>996.0</v>
      </c>
      <c r="E51" s="13">
        <v>888.0</v>
      </c>
    </row>
    <row r="52" ht="14.25" customHeight="1">
      <c r="A52" s="18">
        <v>43952.0</v>
      </c>
      <c r="B52" s="13" t="s">
        <v>14</v>
      </c>
      <c r="C52" s="13">
        <v>15.0</v>
      </c>
      <c r="D52" s="13">
        <v>294.0</v>
      </c>
      <c r="E52" s="13">
        <v>225.0</v>
      </c>
    </row>
    <row r="53" ht="14.25" customHeight="1">
      <c r="A53" s="18">
        <v>43952.0</v>
      </c>
      <c r="B53" s="13" t="s">
        <v>16</v>
      </c>
      <c r="C53" s="13">
        <v>125.0</v>
      </c>
      <c r="D53" s="13">
        <v>20602.0</v>
      </c>
      <c r="E53" s="13">
        <v>18845.0</v>
      </c>
    </row>
    <row r="54" ht="14.25" customHeight="1">
      <c r="A54" s="18">
        <v>43952.0</v>
      </c>
      <c r="B54" s="13" t="s">
        <v>17</v>
      </c>
      <c r="C54" s="13">
        <v>129.0</v>
      </c>
      <c r="D54" s="13">
        <v>17002.0</v>
      </c>
      <c r="E54" s="13">
        <v>15570.0</v>
      </c>
    </row>
    <row r="55" ht="14.25" customHeight="1">
      <c r="A55" s="18">
        <v>43952.0</v>
      </c>
      <c r="B55" s="13" t="s">
        <v>18</v>
      </c>
      <c r="C55" s="13">
        <v>10.0</v>
      </c>
      <c r="D55" s="13">
        <v>554.0</v>
      </c>
      <c r="E55" s="13">
        <v>472.0</v>
      </c>
    </row>
    <row r="56" ht="14.25" customHeight="1">
      <c r="A56" s="18">
        <v>43953.0</v>
      </c>
      <c r="B56" s="13" t="s">
        <v>4</v>
      </c>
      <c r="C56" s="13">
        <v>36.0</v>
      </c>
      <c r="D56" s="13">
        <v>3442.0</v>
      </c>
      <c r="E56" s="13">
        <v>3147.0</v>
      </c>
    </row>
    <row r="57" ht="14.25" customHeight="1">
      <c r="A57" s="18">
        <v>43953.0</v>
      </c>
      <c r="B57" s="13" t="s">
        <v>5</v>
      </c>
      <c r="C57" s="13">
        <v>31.0</v>
      </c>
      <c r="D57" s="13">
        <v>4157.0</v>
      </c>
      <c r="E57" s="13">
        <v>3823.0</v>
      </c>
    </row>
    <row r="58" ht="14.25" customHeight="1">
      <c r="A58" s="18">
        <v>43953.0</v>
      </c>
      <c r="B58" s="13" t="s">
        <v>6</v>
      </c>
      <c r="C58" s="13">
        <v>20.0</v>
      </c>
      <c r="D58" s="13">
        <v>1613.0</v>
      </c>
      <c r="E58" s="13">
        <v>1457.0</v>
      </c>
    </row>
    <row r="59" ht="14.25" customHeight="1">
      <c r="A59" s="18">
        <v>43953.0</v>
      </c>
      <c r="B59" s="13" t="s">
        <v>7</v>
      </c>
      <c r="C59" s="13">
        <v>18.0</v>
      </c>
      <c r="D59" s="13">
        <v>1708.0</v>
      </c>
      <c r="E59" s="13">
        <v>1534.0</v>
      </c>
    </row>
    <row r="60" ht="14.25" customHeight="1">
      <c r="A60" s="18">
        <v>43953.0</v>
      </c>
      <c r="B60" s="13" t="s">
        <v>8</v>
      </c>
      <c r="C60" s="13">
        <v>19.0</v>
      </c>
      <c r="D60" s="13">
        <v>1206.0</v>
      </c>
      <c r="E60" s="13">
        <v>1080.0</v>
      </c>
    </row>
    <row r="61" ht="14.25" customHeight="1">
      <c r="A61" s="18">
        <v>43953.0</v>
      </c>
      <c r="B61" s="13" t="s">
        <v>9</v>
      </c>
      <c r="C61" s="13">
        <v>54.0</v>
      </c>
      <c r="D61" s="13">
        <v>11622.0</v>
      </c>
      <c r="E61" s="13">
        <v>10754.0</v>
      </c>
    </row>
    <row r="62" ht="14.25" customHeight="1">
      <c r="A62" s="18">
        <v>43953.0</v>
      </c>
      <c r="B62" s="13" t="s">
        <v>10</v>
      </c>
      <c r="C62" s="13">
        <v>59.0</v>
      </c>
      <c r="D62" s="13">
        <v>12429.0</v>
      </c>
      <c r="E62" s="13">
        <v>11477.0</v>
      </c>
    </row>
    <row r="63" ht="14.25" customHeight="1">
      <c r="A63" s="18">
        <v>43953.0</v>
      </c>
      <c r="B63" s="13" t="s">
        <v>11</v>
      </c>
      <c r="C63" s="13">
        <v>19.0</v>
      </c>
      <c r="D63" s="13">
        <v>1217.0</v>
      </c>
      <c r="E63" s="13">
        <v>1048.0</v>
      </c>
    </row>
    <row r="64" ht="14.25" customHeight="1">
      <c r="A64" s="18">
        <v>43953.0</v>
      </c>
      <c r="B64" s="13" t="s">
        <v>12</v>
      </c>
      <c r="C64" s="13">
        <v>15.0</v>
      </c>
      <c r="D64" s="13">
        <v>567.0</v>
      </c>
      <c r="E64" s="13">
        <v>493.0</v>
      </c>
    </row>
    <row r="65" ht="14.25" customHeight="1">
      <c r="A65" s="18">
        <v>43953.0</v>
      </c>
      <c r="B65" s="13" t="s">
        <v>13</v>
      </c>
      <c r="C65" s="13">
        <v>15.0</v>
      </c>
      <c r="D65" s="13">
        <v>751.0</v>
      </c>
      <c r="E65" s="13">
        <v>651.0</v>
      </c>
    </row>
    <row r="66" ht="14.25" customHeight="1">
      <c r="A66" s="18">
        <v>43953.0</v>
      </c>
      <c r="B66" s="13" t="s">
        <v>14</v>
      </c>
      <c r="C66" s="13">
        <v>15.0</v>
      </c>
      <c r="D66" s="13">
        <v>274.0</v>
      </c>
      <c r="E66" s="13">
        <v>203.0</v>
      </c>
    </row>
    <row r="67" ht="14.25" customHeight="1">
      <c r="A67" s="18">
        <v>43953.0</v>
      </c>
      <c r="B67" s="13" t="s">
        <v>16</v>
      </c>
      <c r="C67" s="13">
        <v>125.0</v>
      </c>
      <c r="D67" s="13">
        <v>16932.0</v>
      </c>
      <c r="E67" s="13">
        <v>15601.0</v>
      </c>
    </row>
    <row r="68" ht="14.25" customHeight="1">
      <c r="A68" s="18">
        <v>43953.0</v>
      </c>
      <c r="B68" s="13" t="s">
        <v>17</v>
      </c>
      <c r="C68" s="13">
        <v>129.0</v>
      </c>
      <c r="D68" s="13">
        <v>14009.0</v>
      </c>
      <c r="E68" s="13">
        <v>12920.0</v>
      </c>
    </row>
    <row r="69" ht="14.25" customHeight="1">
      <c r="A69" s="18">
        <v>43953.0</v>
      </c>
      <c r="B69" s="13" t="s">
        <v>18</v>
      </c>
      <c r="C69" s="13">
        <v>10.0</v>
      </c>
      <c r="D69" s="13">
        <v>416.0</v>
      </c>
      <c r="E69" s="13">
        <v>341.0</v>
      </c>
    </row>
    <row r="70" ht="14.25" customHeight="1">
      <c r="A70" s="18">
        <v>43954.0</v>
      </c>
      <c r="B70" s="13" t="s">
        <v>4</v>
      </c>
      <c r="C70" s="13">
        <v>36.0</v>
      </c>
      <c r="D70" s="13">
        <v>4751.0</v>
      </c>
      <c r="E70" s="13">
        <v>4370.0</v>
      </c>
    </row>
    <row r="71" ht="14.25" customHeight="1">
      <c r="A71" s="18">
        <v>43954.0</v>
      </c>
      <c r="B71" s="13" t="s">
        <v>5</v>
      </c>
      <c r="C71" s="13">
        <v>31.0</v>
      </c>
      <c r="D71" s="13">
        <v>5155.0</v>
      </c>
      <c r="E71" s="13">
        <v>4762.0</v>
      </c>
    </row>
    <row r="72" ht="14.25" customHeight="1">
      <c r="A72" s="18">
        <v>43954.0</v>
      </c>
      <c r="B72" s="13" t="s">
        <v>6</v>
      </c>
      <c r="C72" s="13">
        <v>20.0</v>
      </c>
      <c r="D72" s="13">
        <v>1716.0</v>
      </c>
      <c r="E72" s="13">
        <v>1561.0</v>
      </c>
    </row>
    <row r="73" ht="14.25" customHeight="1">
      <c r="A73" s="18">
        <v>43954.0</v>
      </c>
      <c r="B73" s="13" t="s">
        <v>7</v>
      </c>
      <c r="C73" s="13">
        <v>20.0</v>
      </c>
      <c r="D73" s="13">
        <v>1520.0</v>
      </c>
      <c r="E73" s="13">
        <v>1373.0</v>
      </c>
    </row>
    <row r="74" ht="14.25" customHeight="1">
      <c r="A74" s="18">
        <v>43954.0</v>
      </c>
      <c r="B74" s="13" t="s">
        <v>8</v>
      </c>
      <c r="C74" s="13">
        <v>19.0</v>
      </c>
      <c r="D74" s="13">
        <v>1314.0</v>
      </c>
      <c r="E74" s="13">
        <v>1192.0</v>
      </c>
    </row>
    <row r="75" ht="14.25" customHeight="1">
      <c r="A75" s="18">
        <v>43954.0</v>
      </c>
      <c r="B75" s="13" t="s">
        <v>9</v>
      </c>
      <c r="C75" s="13">
        <v>54.0</v>
      </c>
      <c r="D75" s="13">
        <v>14823.0</v>
      </c>
      <c r="E75" s="13">
        <v>13751.0</v>
      </c>
    </row>
    <row r="76" ht="14.25" customHeight="1">
      <c r="A76" s="18">
        <v>43954.0</v>
      </c>
      <c r="B76" s="13" t="s">
        <v>10</v>
      </c>
      <c r="C76" s="13">
        <v>59.0</v>
      </c>
      <c r="D76" s="13">
        <v>15277.0</v>
      </c>
      <c r="E76" s="13">
        <v>14163.0</v>
      </c>
    </row>
    <row r="77" ht="14.25" customHeight="1">
      <c r="A77" s="18">
        <v>43954.0</v>
      </c>
      <c r="B77" s="13" t="s">
        <v>11</v>
      </c>
      <c r="C77" s="13">
        <v>19.0</v>
      </c>
      <c r="D77" s="13">
        <v>1402.0</v>
      </c>
      <c r="E77" s="13">
        <v>1234.0</v>
      </c>
    </row>
    <row r="78" ht="14.25" customHeight="1">
      <c r="A78" s="18">
        <v>43954.0</v>
      </c>
      <c r="B78" s="13" t="s">
        <v>12</v>
      </c>
      <c r="C78" s="13">
        <v>15.0</v>
      </c>
      <c r="D78" s="13">
        <v>585.0</v>
      </c>
      <c r="E78" s="13">
        <v>502.0</v>
      </c>
    </row>
    <row r="79" ht="14.25" customHeight="1">
      <c r="A79" s="18">
        <v>43954.0</v>
      </c>
      <c r="B79" s="13" t="s">
        <v>13</v>
      </c>
      <c r="C79" s="13">
        <v>15.0</v>
      </c>
      <c r="D79" s="13">
        <v>784.0</v>
      </c>
      <c r="E79" s="13">
        <v>696.0</v>
      </c>
    </row>
    <row r="80" ht="14.25" customHeight="1">
      <c r="A80" s="18">
        <v>43954.0</v>
      </c>
      <c r="B80" s="13" t="s">
        <v>14</v>
      </c>
      <c r="C80" s="13">
        <v>15.0</v>
      </c>
      <c r="D80" s="13">
        <v>455.0</v>
      </c>
      <c r="E80" s="13">
        <v>384.0</v>
      </c>
    </row>
    <row r="81" ht="14.25" customHeight="1">
      <c r="A81" s="18">
        <v>43954.0</v>
      </c>
      <c r="B81" s="13" t="s">
        <v>16</v>
      </c>
      <c r="C81" s="13">
        <v>125.0</v>
      </c>
      <c r="D81" s="13">
        <v>18861.0</v>
      </c>
      <c r="E81" s="13">
        <v>17420.0</v>
      </c>
    </row>
    <row r="82" ht="14.25" customHeight="1">
      <c r="A82" s="18">
        <v>43954.0</v>
      </c>
      <c r="B82" s="13" t="s">
        <v>17</v>
      </c>
      <c r="C82" s="13">
        <v>129.0</v>
      </c>
      <c r="D82" s="13">
        <v>15778.0</v>
      </c>
      <c r="E82" s="13">
        <v>14624.0</v>
      </c>
    </row>
    <row r="83" ht="14.25" customHeight="1">
      <c r="A83" s="18">
        <v>43954.0</v>
      </c>
      <c r="B83" s="13" t="s">
        <v>18</v>
      </c>
      <c r="C83" s="13">
        <v>10.0</v>
      </c>
      <c r="D83" s="13">
        <v>402.0</v>
      </c>
      <c r="E83" s="13">
        <v>333.0</v>
      </c>
    </row>
    <row r="84" ht="14.25" customHeight="1">
      <c r="A84" s="18">
        <v>43955.0</v>
      </c>
      <c r="B84" s="13" t="s">
        <v>4</v>
      </c>
      <c r="C84" s="13">
        <v>36.0</v>
      </c>
      <c r="D84" s="13">
        <v>4508.0</v>
      </c>
      <c r="E84" s="13">
        <v>4149.0</v>
      </c>
    </row>
    <row r="85" ht="14.25" customHeight="1">
      <c r="A85" s="18">
        <v>43955.0</v>
      </c>
      <c r="B85" s="13" t="s">
        <v>5</v>
      </c>
      <c r="C85" s="13">
        <v>31.0</v>
      </c>
      <c r="D85" s="13">
        <v>4968.0</v>
      </c>
      <c r="E85" s="13">
        <v>4596.0</v>
      </c>
    </row>
    <row r="86" ht="14.25" customHeight="1">
      <c r="A86" s="18">
        <v>43955.0</v>
      </c>
      <c r="B86" s="13" t="s">
        <v>6</v>
      </c>
      <c r="C86" s="13">
        <v>20.0</v>
      </c>
      <c r="D86" s="13">
        <v>1804.0</v>
      </c>
      <c r="E86" s="13">
        <v>1638.0</v>
      </c>
    </row>
    <row r="87" ht="14.25" customHeight="1">
      <c r="A87" s="18">
        <v>43955.0</v>
      </c>
      <c r="B87" s="13" t="s">
        <v>7</v>
      </c>
      <c r="C87" s="13">
        <v>20.0</v>
      </c>
      <c r="D87" s="13">
        <v>1519.0</v>
      </c>
      <c r="E87" s="13">
        <v>1372.0</v>
      </c>
    </row>
    <row r="88" ht="14.25" customHeight="1">
      <c r="A88" s="18">
        <v>43955.0</v>
      </c>
      <c r="B88" s="13" t="s">
        <v>8</v>
      </c>
      <c r="C88" s="13">
        <v>19.0</v>
      </c>
      <c r="D88" s="13">
        <v>1479.0</v>
      </c>
      <c r="E88" s="13">
        <v>1346.0</v>
      </c>
    </row>
    <row r="89" ht="14.25" customHeight="1">
      <c r="A89" s="18">
        <v>43955.0</v>
      </c>
      <c r="B89" s="13" t="s">
        <v>9</v>
      </c>
      <c r="C89" s="13">
        <v>54.0</v>
      </c>
      <c r="D89" s="13">
        <v>13606.0</v>
      </c>
      <c r="E89" s="13">
        <v>12697.0</v>
      </c>
    </row>
    <row r="90" ht="14.25" customHeight="1">
      <c r="A90" s="18">
        <v>43955.0</v>
      </c>
      <c r="B90" s="13" t="s">
        <v>10</v>
      </c>
      <c r="C90" s="13">
        <v>59.0</v>
      </c>
      <c r="D90" s="13">
        <v>14423.0</v>
      </c>
      <c r="E90" s="13">
        <v>13432.0</v>
      </c>
    </row>
    <row r="91" ht="14.25" customHeight="1">
      <c r="A91" s="18">
        <v>43955.0</v>
      </c>
      <c r="B91" s="13" t="s">
        <v>11</v>
      </c>
      <c r="C91" s="13">
        <v>19.0</v>
      </c>
      <c r="D91" s="13">
        <v>1582.0</v>
      </c>
      <c r="E91" s="13">
        <v>1403.0</v>
      </c>
    </row>
    <row r="92" ht="14.25" customHeight="1">
      <c r="A92" s="18">
        <v>43955.0</v>
      </c>
      <c r="B92" s="13" t="s">
        <v>12</v>
      </c>
      <c r="C92" s="13">
        <v>15.0</v>
      </c>
      <c r="D92" s="13">
        <v>622.0</v>
      </c>
      <c r="E92" s="13">
        <v>538.0</v>
      </c>
    </row>
    <row r="93" ht="14.25" customHeight="1">
      <c r="A93" s="18">
        <v>43955.0</v>
      </c>
      <c r="B93" s="13" t="s">
        <v>13</v>
      </c>
      <c r="C93" s="13">
        <v>15.0</v>
      </c>
      <c r="D93" s="13">
        <v>750.0</v>
      </c>
      <c r="E93" s="13">
        <v>647.0</v>
      </c>
    </row>
    <row r="94" ht="14.25" customHeight="1">
      <c r="A94" s="18">
        <v>43955.0</v>
      </c>
      <c r="B94" s="13" t="s">
        <v>14</v>
      </c>
      <c r="C94" s="13">
        <v>15.0</v>
      </c>
      <c r="D94" s="13">
        <v>390.0</v>
      </c>
      <c r="E94" s="13">
        <v>315.0</v>
      </c>
    </row>
    <row r="95" ht="14.25" customHeight="1">
      <c r="A95" s="18">
        <v>43955.0</v>
      </c>
      <c r="B95" s="13" t="s">
        <v>16</v>
      </c>
      <c r="C95" s="13">
        <v>125.0</v>
      </c>
      <c r="D95" s="13">
        <v>20495.0</v>
      </c>
      <c r="E95" s="13">
        <v>18964.0</v>
      </c>
    </row>
    <row r="96" ht="14.25" customHeight="1">
      <c r="A96" s="18">
        <v>43955.0</v>
      </c>
      <c r="B96" s="13" t="s">
        <v>17</v>
      </c>
      <c r="C96" s="13">
        <v>129.0</v>
      </c>
      <c r="D96" s="13">
        <v>16525.0</v>
      </c>
      <c r="E96" s="13">
        <v>15310.0</v>
      </c>
    </row>
    <row r="97" ht="14.25" customHeight="1">
      <c r="A97" s="18">
        <v>43955.0</v>
      </c>
      <c r="B97" s="13" t="s">
        <v>18</v>
      </c>
      <c r="C97" s="13">
        <v>10.0</v>
      </c>
      <c r="D97" s="13">
        <v>462.0</v>
      </c>
      <c r="E97" s="13">
        <v>396.0</v>
      </c>
    </row>
    <row r="98" ht="14.25" customHeight="1">
      <c r="A98" s="18">
        <v>43956.0</v>
      </c>
      <c r="B98" s="13" t="s">
        <v>4</v>
      </c>
      <c r="C98" s="13">
        <v>36.0</v>
      </c>
      <c r="D98" s="13">
        <v>4575.0</v>
      </c>
      <c r="E98" s="13">
        <v>4206.0</v>
      </c>
    </row>
    <row r="99" ht="14.25" customHeight="1">
      <c r="A99" s="18">
        <v>43956.0</v>
      </c>
      <c r="B99" s="13" t="s">
        <v>5</v>
      </c>
      <c r="C99" s="13">
        <v>31.0</v>
      </c>
      <c r="D99" s="13">
        <v>5188.0</v>
      </c>
      <c r="E99" s="13">
        <v>4800.0</v>
      </c>
    </row>
    <row r="100" ht="14.25" customHeight="1">
      <c r="A100" s="18">
        <v>43956.0</v>
      </c>
      <c r="B100" s="13" t="s">
        <v>6</v>
      </c>
      <c r="C100" s="13">
        <v>20.0</v>
      </c>
      <c r="D100" s="13">
        <v>1757.0</v>
      </c>
      <c r="E100" s="13">
        <v>1596.0</v>
      </c>
    </row>
    <row r="101" ht="14.25" customHeight="1">
      <c r="A101" s="18">
        <v>43956.0</v>
      </c>
      <c r="B101" s="13" t="s">
        <v>7</v>
      </c>
      <c r="C101" s="13">
        <v>20.0</v>
      </c>
      <c r="D101" s="13">
        <v>1773.0</v>
      </c>
      <c r="E101" s="13">
        <v>1604.0</v>
      </c>
    </row>
    <row r="102" ht="14.25" customHeight="1">
      <c r="A102" s="18">
        <v>43956.0</v>
      </c>
      <c r="B102" s="13" t="s">
        <v>8</v>
      </c>
      <c r="C102" s="13">
        <v>19.0</v>
      </c>
      <c r="D102" s="13">
        <v>1622.0</v>
      </c>
      <c r="E102" s="13">
        <v>1482.0</v>
      </c>
    </row>
    <row r="103" ht="14.25" customHeight="1">
      <c r="A103" s="18">
        <v>43956.0</v>
      </c>
      <c r="B103" s="13" t="s">
        <v>9</v>
      </c>
      <c r="C103" s="13">
        <v>54.0</v>
      </c>
      <c r="D103" s="13">
        <v>12775.0</v>
      </c>
      <c r="E103" s="13">
        <v>11887.0</v>
      </c>
    </row>
    <row r="104" ht="14.25" customHeight="1">
      <c r="A104" s="18">
        <v>43956.0</v>
      </c>
      <c r="B104" s="13" t="s">
        <v>10</v>
      </c>
      <c r="C104" s="13">
        <v>59.0</v>
      </c>
      <c r="D104" s="13">
        <v>13469.0</v>
      </c>
      <c r="E104" s="13">
        <v>12486.0</v>
      </c>
    </row>
    <row r="105" ht="14.25" customHeight="1">
      <c r="A105" s="18">
        <v>43956.0</v>
      </c>
      <c r="B105" s="13" t="s">
        <v>11</v>
      </c>
      <c r="C105" s="13">
        <v>19.0</v>
      </c>
      <c r="D105" s="13">
        <v>1417.0</v>
      </c>
      <c r="E105" s="13">
        <v>1245.0</v>
      </c>
    </row>
    <row r="106" ht="14.25" customHeight="1">
      <c r="A106" s="18">
        <v>43956.0</v>
      </c>
      <c r="B106" s="13" t="s">
        <v>12</v>
      </c>
      <c r="C106" s="13">
        <v>15.0</v>
      </c>
      <c r="D106" s="13">
        <v>750.0</v>
      </c>
      <c r="E106" s="13">
        <v>658.0</v>
      </c>
    </row>
    <row r="107" ht="14.25" customHeight="1">
      <c r="A107" s="18">
        <v>43956.0</v>
      </c>
      <c r="B107" s="13" t="s">
        <v>13</v>
      </c>
      <c r="C107" s="13">
        <v>15.0</v>
      </c>
      <c r="D107" s="13">
        <v>922.0</v>
      </c>
      <c r="E107" s="13">
        <v>823.0</v>
      </c>
    </row>
    <row r="108" ht="14.25" customHeight="1">
      <c r="A108" s="18">
        <v>43956.0</v>
      </c>
      <c r="B108" s="13" t="s">
        <v>14</v>
      </c>
      <c r="C108" s="13">
        <v>15.0</v>
      </c>
      <c r="D108" s="13">
        <v>455.0</v>
      </c>
      <c r="E108" s="13">
        <v>381.0</v>
      </c>
    </row>
    <row r="109" ht="14.25" customHeight="1">
      <c r="A109" s="18">
        <v>43956.0</v>
      </c>
      <c r="B109" s="13" t="s">
        <v>16</v>
      </c>
      <c r="C109" s="13">
        <v>125.0</v>
      </c>
      <c r="D109" s="13">
        <v>18944.0</v>
      </c>
      <c r="E109" s="13">
        <v>17541.0</v>
      </c>
    </row>
    <row r="110" ht="14.25" customHeight="1">
      <c r="A110" s="18">
        <v>43956.0</v>
      </c>
      <c r="B110" s="13" t="s">
        <v>17</v>
      </c>
      <c r="C110" s="13">
        <v>129.0</v>
      </c>
      <c r="D110" s="13">
        <v>15665.0</v>
      </c>
      <c r="E110" s="13">
        <v>14501.0</v>
      </c>
    </row>
    <row r="111" ht="14.25" customHeight="1">
      <c r="A111" s="18">
        <v>43956.0</v>
      </c>
      <c r="B111" s="13" t="s">
        <v>18</v>
      </c>
      <c r="C111" s="13">
        <v>10.0</v>
      </c>
      <c r="D111" s="13">
        <v>511.0</v>
      </c>
      <c r="E111" s="13">
        <v>437.0</v>
      </c>
    </row>
    <row r="112" ht="14.25" customHeight="1">
      <c r="A112" s="18">
        <v>43957.0</v>
      </c>
      <c r="B112" s="13" t="s">
        <v>4</v>
      </c>
      <c r="C112" s="13">
        <v>36.0</v>
      </c>
      <c r="D112" s="13">
        <v>4384.0</v>
      </c>
      <c r="E112" s="13">
        <v>4025.0</v>
      </c>
    </row>
    <row r="113" ht="14.25" customHeight="1">
      <c r="A113" s="18">
        <v>43957.0</v>
      </c>
      <c r="B113" s="13" t="s">
        <v>5</v>
      </c>
      <c r="C113" s="13">
        <v>31.0</v>
      </c>
      <c r="D113" s="13">
        <v>4709.0</v>
      </c>
      <c r="E113" s="13">
        <v>4348.0</v>
      </c>
    </row>
    <row r="114" ht="14.25" customHeight="1">
      <c r="A114" s="18">
        <v>43957.0</v>
      </c>
      <c r="B114" s="13" t="s">
        <v>6</v>
      </c>
      <c r="C114" s="13">
        <v>20.0</v>
      </c>
      <c r="D114" s="13">
        <v>1747.0</v>
      </c>
      <c r="E114" s="13">
        <v>1570.0</v>
      </c>
    </row>
    <row r="115" ht="14.25" customHeight="1">
      <c r="A115" s="18">
        <v>43957.0</v>
      </c>
      <c r="B115" s="13" t="s">
        <v>7</v>
      </c>
      <c r="C115" s="13">
        <v>20.0</v>
      </c>
      <c r="D115" s="13">
        <v>1784.0</v>
      </c>
      <c r="E115" s="13">
        <v>1632.0</v>
      </c>
    </row>
    <row r="116" ht="14.25" customHeight="1">
      <c r="A116" s="18">
        <v>43957.0</v>
      </c>
      <c r="B116" s="13" t="s">
        <v>8</v>
      </c>
      <c r="C116" s="13">
        <v>19.0</v>
      </c>
      <c r="D116" s="13">
        <v>1509.0</v>
      </c>
      <c r="E116" s="13">
        <v>1374.0</v>
      </c>
    </row>
    <row r="117" ht="14.25" customHeight="1">
      <c r="A117" s="18">
        <v>43957.0</v>
      </c>
      <c r="B117" s="13" t="s">
        <v>9</v>
      </c>
      <c r="C117" s="13">
        <v>54.0</v>
      </c>
      <c r="D117" s="13">
        <v>13406.0</v>
      </c>
      <c r="E117" s="13">
        <v>12518.0</v>
      </c>
    </row>
    <row r="118" ht="14.25" customHeight="1">
      <c r="A118" s="18">
        <v>43957.0</v>
      </c>
      <c r="B118" s="13" t="s">
        <v>10</v>
      </c>
      <c r="C118" s="13">
        <v>59.0</v>
      </c>
      <c r="D118" s="13">
        <v>14103.0</v>
      </c>
      <c r="E118" s="13">
        <v>13118.0</v>
      </c>
    </row>
    <row r="119" ht="14.25" customHeight="1">
      <c r="A119" s="18">
        <v>43957.0</v>
      </c>
      <c r="B119" s="13" t="s">
        <v>11</v>
      </c>
      <c r="C119" s="13">
        <v>19.0</v>
      </c>
      <c r="D119" s="13">
        <v>1499.0</v>
      </c>
      <c r="E119" s="13">
        <v>1323.0</v>
      </c>
    </row>
    <row r="120" ht="14.25" customHeight="1">
      <c r="A120" s="18">
        <v>43957.0</v>
      </c>
      <c r="B120" s="13" t="s">
        <v>12</v>
      </c>
      <c r="C120" s="13">
        <v>15.0</v>
      </c>
      <c r="D120" s="13">
        <v>701.0</v>
      </c>
      <c r="E120" s="13">
        <v>611.0</v>
      </c>
    </row>
    <row r="121" ht="14.25" customHeight="1">
      <c r="A121" s="18">
        <v>43957.0</v>
      </c>
      <c r="B121" s="13" t="s">
        <v>13</v>
      </c>
      <c r="C121" s="13">
        <v>15.0</v>
      </c>
      <c r="D121" s="13">
        <v>839.0</v>
      </c>
      <c r="E121" s="13">
        <v>733.0</v>
      </c>
    </row>
    <row r="122" ht="14.25" customHeight="1">
      <c r="A122" s="18">
        <v>43957.0</v>
      </c>
      <c r="B122" s="13" t="s">
        <v>14</v>
      </c>
      <c r="C122" s="13">
        <v>15.0</v>
      </c>
      <c r="D122" s="13">
        <v>467.0</v>
      </c>
      <c r="E122" s="13">
        <v>389.0</v>
      </c>
    </row>
    <row r="123" ht="14.25" customHeight="1">
      <c r="A123" s="18">
        <v>43957.0</v>
      </c>
      <c r="B123" s="13" t="s">
        <v>16</v>
      </c>
      <c r="C123" s="13">
        <v>125.0</v>
      </c>
      <c r="D123" s="13">
        <v>20218.0</v>
      </c>
      <c r="E123" s="13">
        <v>18647.0</v>
      </c>
    </row>
    <row r="124" ht="14.25" customHeight="1">
      <c r="A124" s="18">
        <v>43957.0</v>
      </c>
      <c r="B124" s="13" t="s">
        <v>17</v>
      </c>
      <c r="C124" s="13">
        <v>129.0</v>
      </c>
      <c r="D124" s="13">
        <v>16376.0</v>
      </c>
      <c r="E124" s="13">
        <v>15197.0</v>
      </c>
    </row>
    <row r="125" ht="14.25" customHeight="1">
      <c r="A125" s="18">
        <v>43957.0</v>
      </c>
      <c r="B125" s="13" t="s">
        <v>18</v>
      </c>
      <c r="C125" s="13">
        <v>10.0</v>
      </c>
      <c r="D125" s="13">
        <v>465.0</v>
      </c>
      <c r="E125" s="13">
        <v>390.0</v>
      </c>
    </row>
    <row r="126" ht="14.25" customHeight="1">
      <c r="A126" s="18">
        <v>43958.0</v>
      </c>
      <c r="B126" s="13" t="s">
        <v>4</v>
      </c>
      <c r="C126" s="13">
        <v>36.0</v>
      </c>
      <c r="D126" s="13">
        <v>4826.0</v>
      </c>
      <c r="E126" s="13">
        <v>4426.0</v>
      </c>
    </row>
    <row r="127" ht="14.25" customHeight="1">
      <c r="A127" s="18">
        <v>43958.0</v>
      </c>
      <c r="B127" s="13" t="s">
        <v>5</v>
      </c>
      <c r="C127" s="13">
        <v>31.0</v>
      </c>
      <c r="D127" s="13">
        <v>4903.0</v>
      </c>
      <c r="E127" s="13">
        <v>4527.0</v>
      </c>
    </row>
    <row r="128" ht="14.25" customHeight="1">
      <c r="A128" s="18">
        <v>43958.0</v>
      </c>
      <c r="B128" s="13" t="s">
        <v>6</v>
      </c>
      <c r="C128" s="13">
        <v>21.0</v>
      </c>
      <c r="D128" s="13">
        <v>1879.0</v>
      </c>
      <c r="E128" s="13">
        <v>1695.0</v>
      </c>
    </row>
    <row r="129" ht="14.25" customHeight="1">
      <c r="A129" s="18">
        <v>43958.0</v>
      </c>
      <c r="B129" s="13" t="s">
        <v>7</v>
      </c>
      <c r="C129" s="13">
        <v>21.0</v>
      </c>
      <c r="D129" s="13">
        <v>1542.0</v>
      </c>
      <c r="E129" s="13">
        <v>1405.0</v>
      </c>
    </row>
    <row r="130" ht="14.25" customHeight="1">
      <c r="A130" s="18">
        <v>43958.0</v>
      </c>
      <c r="B130" s="13" t="s">
        <v>8</v>
      </c>
      <c r="C130" s="13">
        <v>19.0</v>
      </c>
      <c r="D130" s="13">
        <v>1580.0</v>
      </c>
      <c r="E130" s="13">
        <v>1435.0</v>
      </c>
    </row>
    <row r="131" ht="14.25" customHeight="1">
      <c r="A131" s="18">
        <v>43958.0</v>
      </c>
      <c r="B131" s="13" t="s">
        <v>9</v>
      </c>
      <c r="C131" s="13">
        <v>54.0</v>
      </c>
      <c r="D131" s="13">
        <v>12743.0</v>
      </c>
      <c r="E131" s="13">
        <v>11858.0</v>
      </c>
    </row>
    <row r="132" ht="14.25" customHeight="1">
      <c r="A132" s="18">
        <v>43958.0</v>
      </c>
      <c r="B132" s="13" t="s">
        <v>10</v>
      </c>
      <c r="C132" s="13">
        <v>59.0</v>
      </c>
      <c r="D132" s="13">
        <v>13495.0</v>
      </c>
      <c r="E132" s="13">
        <v>12517.0</v>
      </c>
    </row>
    <row r="133" ht="14.25" customHeight="1">
      <c r="A133" s="18">
        <v>43958.0</v>
      </c>
      <c r="B133" s="13" t="s">
        <v>11</v>
      </c>
      <c r="C133" s="13">
        <v>19.0</v>
      </c>
      <c r="D133" s="13">
        <v>1530.0</v>
      </c>
      <c r="E133" s="13">
        <v>1338.0</v>
      </c>
    </row>
    <row r="134" ht="14.25" customHeight="1">
      <c r="A134" s="18">
        <v>43958.0</v>
      </c>
      <c r="B134" s="13" t="s">
        <v>12</v>
      </c>
      <c r="C134" s="13">
        <v>15.0</v>
      </c>
      <c r="D134" s="13">
        <v>676.0</v>
      </c>
      <c r="E134" s="13">
        <v>591.0</v>
      </c>
    </row>
    <row r="135" ht="14.25" customHeight="1">
      <c r="A135" s="18">
        <v>43958.0</v>
      </c>
      <c r="B135" s="13" t="s">
        <v>13</v>
      </c>
      <c r="C135" s="13">
        <v>15.0</v>
      </c>
      <c r="D135" s="13">
        <v>805.0</v>
      </c>
      <c r="E135" s="13">
        <v>703.0</v>
      </c>
    </row>
    <row r="136" ht="14.25" customHeight="1">
      <c r="A136" s="18">
        <v>43958.0</v>
      </c>
      <c r="B136" s="13" t="s">
        <v>14</v>
      </c>
      <c r="C136" s="13">
        <v>15.0</v>
      </c>
      <c r="D136" s="13">
        <v>480.0</v>
      </c>
      <c r="E136" s="13">
        <v>398.0</v>
      </c>
    </row>
    <row r="137" ht="14.25" customHeight="1">
      <c r="A137" s="18">
        <v>43958.0</v>
      </c>
      <c r="B137" s="13" t="s">
        <v>16</v>
      </c>
      <c r="C137" s="13">
        <v>125.0</v>
      </c>
      <c r="D137" s="13">
        <v>18014.0</v>
      </c>
      <c r="E137" s="13">
        <v>16675.0</v>
      </c>
    </row>
    <row r="138" ht="14.25" customHeight="1">
      <c r="A138" s="18">
        <v>43958.0</v>
      </c>
      <c r="B138" s="13" t="s">
        <v>17</v>
      </c>
      <c r="C138" s="13">
        <v>129.0</v>
      </c>
      <c r="D138" s="13">
        <v>14582.0</v>
      </c>
      <c r="E138" s="13">
        <v>13512.0</v>
      </c>
    </row>
    <row r="139" ht="14.25" customHeight="1">
      <c r="A139" s="18">
        <v>43958.0</v>
      </c>
      <c r="B139" s="13" t="s">
        <v>18</v>
      </c>
      <c r="C139" s="13">
        <v>10.0</v>
      </c>
      <c r="D139" s="13">
        <v>563.0</v>
      </c>
      <c r="E139" s="13">
        <v>486.0</v>
      </c>
    </row>
    <row r="140" ht="14.25" customHeight="1">
      <c r="A140" s="18">
        <v>43959.0</v>
      </c>
      <c r="B140" s="13" t="s">
        <v>4</v>
      </c>
      <c r="C140" s="13">
        <v>36.0</v>
      </c>
      <c r="D140" s="13">
        <v>4199.0</v>
      </c>
      <c r="E140" s="13">
        <v>3867.0</v>
      </c>
    </row>
    <row r="141" ht="14.25" customHeight="1">
      <c r="A141" s="18">
        <v>43959.0</v>
      </c>
      <c r="B141" s="13" t="s">
        <v>5</v>
      </c>
      <c r="C141" s="13">
        <v>31.0</v>
      </c>
      <c r="D141" s="13">
        <v>4635.0</v>
      </c>
      <c r="E141" s="13">
        <v>4266.0</v>
      </c>
    </row>
    <row r="142" ht="14.25" customHeight="1">
      <c r="A142" s="18">
        <v>43959.0</v>
      </c>
      <c r="B142" s="13" t="s">
        <v>6</v>
      </c>
      <c r="C142" s="13">
        <v>21.0</v>
      </c>
      <c r="D142" s="13">
        <v>1957.0</v>
      </c>
      <c r="E142" s="13">
        <v>1755.0</v>
      </c>
    </row>
    <row r="143" ht="14.25" customHeight="1">
      <c r="A143" s="18">
        <v>43959.0</v>
      </c>
      <c r="B143" s="13" t="s">
        <v>7</v>
      </c>
      <c r="C143" s="13">
        <v>21.0</v>
      </c>
      <c r="D143" s="13">
        <v>1646.0</v>
      </c>
      <c r="E143" s="13">
        <v>1492.0</v>
      </c>
    </row>
    <row r="144" ht="14.25" customHeight="1">
      <c r="A144" s="18">
        <v>43959.0</v>
      </c>
      <c r="B144" s="13" t="s">
        <v>8</v>
      </c>
      <c r="C144" s="13">
        <v>19.0</v>
      </c>
      <c r="D144" s="13">
        <v>1520.0</v>
      </c>
      <c r="E144" s="13">
        <v>1380.0</v>
      </c>
    </row>
    <row r="145" ht="14.25" customHeight="1">
      <c r="A145" s="18">
        <v>43959.0</v>
      </c>
      <c r="B145" s="13" t="s">
        <v>9</v>
      </c>
      <c r="C145" s="13">
        <v>54.0</v>
      </c>
      <c r="D145" s="13">
        <v>13563.0</v>
      </c>
      <c r="E145" s="13">
        <v>12604.0</v>
      </c>
    </row>
    <row r="146" ht="14.25" customHeight="1">
      <c r="A146" s="18">
        <v>43959.0</v>
      </c>
      <c r="B146" s="13" t="s">
        <v>10</v>
      </c>
      <c r="C146" s="13">
        <v>59.0</v>
      </c>
      <c r="D146" s="13">
        <v>14098.0</v>
      </c>
      <c r="E146" s="13">
        <v>13106.0</v>
      </c>
    </row>
    <row r="147" ht="14.25" customHeight="1">
      <c r="A147" s="18">
        <v>43959.0</v>
      </c>
      <c r="B147" s="13" t="s">
        <v>11</v>
      </c>
      <c r="C147" s="13">
        <v>19.0</v>
      </c>
      <c r="D147" s="13">
        <v>1522.0</v>
      </c>
      <c r="E147" s="13">
        <v>1340.0</v>
      </c>
    </row>
    <row r="148" ht="14.25" customHeight="1">
      <c r="A148" s="18">
        <v>43959.0</v>
      </c>
      <c r="B148" s="13" t="s">
        <v>12</v>
      </c>
      <c r="C148" s="13">
        <v>15.0</v>
      </c>
      <c r="D148" s="13">
        <v>703.0</v>
      </c>
      <c r="E148" s="13">
        <v>609.0</v>
      </c>
    </row>
    <row r="149" ht="14.25" customHeight="1">
      <c r="A149" s="18">
        <v>43959.0</v>
      </c>
      <c r="B149" s="13" t="s">
        <v>13</v>
      </c>
      <c r="C149" s="13">
        <v>15.0</v>
      </c>
      <c r="D149" s="13">
        <v>879.0</v>
      </c>
      <c r="E149" s="13">
        <v>768.0</v>
      </c>
    </row>
    <row r="150" ht="14.25" customHeight="1">
      <c r="A150" s="18">
        <v>43959.0</v>
      </c>
      <c r="B150" s="13" t="s">
        <v>14</v>
      </c>
      <c r="C150" s="13">
        <v>15.0</v>
      </c>
      <c r="D150" s="13">
        <v>492.0</v>
      </c>
      <c r="E150" s="13">
        <v>412.0</v>
      </c>
    </row>
    <row r="151" ht="14.25" customHeight="1">
      <c r="A151" s="18">
        <v>43959.0</v>
      </c>
      <c r="B151" s="13" t="s">
        <v>16</v>
      </c>
      <c r="C151" s="13">
        <v>125.0</v>
      </c>
      <c r="D151" s="13">
        <v>24620.0</v>
      </c>
      <c r="E151" s="13">
        <v>22641.0</v>
      </c>
    </row>
    <row r="152" ht="14.25" customHeight="1">
      <c r="A152" s="18">
        <v>43959.0</v>
      </c>
      <c r="B152" s="13" t="s">
        <v>17</v>
      </c>
      <c r="C152" s="13">
        <v>129.0</v>
      </c>
      <c r="D152" s="13">
        <v>20452.0</v>
      </c>
      <c r="E152" s="13">
        <v>18857.0</v>
      </c>
    </row>
    <row r="153" ht="14.25" customHeight="1">
      <c r="A153" s="18">
        <v>43959.0</v>
      </c>
      <c r="B153" s="13" t="s">
        <v>18</v>
      </c>
      <c r="C153" s="13">
        <v>10.0</v>
      </c>
      <c r="D153" s="13">
        <v>638.0</v>
      </c>
      <c r="E153" s="13">
        <v>547.0</v>
      </c>
    </row>
    <row r="154" ht="14.25" customHeight="1">
      <c r="A154" s="18">
        <v>43960.0</v>
      </c>
      <c r="B154" s="13" t="s">
        <v>4</v>
      </c>
      <c r="C154" s="13">
        <v>36.0</v>
      </c>
      <c r="D154" s="13">
        <v>5413.0</v>
      </c>
      <c r="E154" s="13">
        <v>4959.0</v>
      </c>
    </row>
    <row r="155" ht="14.25" customHeight="1">
      <c r="A155" s="18">
        <v>43960.0</v>
      </c>
      <c r="B155" s="13" t="s">
        <v>5</v>
      </c>
      <c r="C155" s="13">
        <v>31.0</v>
      </c>
      <c r="D155" s="13">
        <v>4556.0</v>
      </c>
      <c r="E155" s="13">
        <v>4220.0</v>
      </c>
    </row>
    <row r="156" ht="14.25" customHeight="1">
      <c r="A156" s="18">
        <v>43960.0</v>
      </c>
      <c r="B156" s="13" t="s">
        <v>6</v>
      </c>
      <c r="C156" s="13">
        <v>21.0</v>
      </c>
      <c r="D156" s="13">
        <v>1891.0</v>
      </c>
      <c r="E156" s="13">
        <v>1709.0</v>
      </c>
    </row>
    <row r="157" ht="14.25" customHeight="1">
      <c r="A157" s="18">
        <v>43960.0</v>
      </c>
      <c r="B157" s="13" t="s">
        <v>7</v>
      </c>
      <c r="C157" s="13">
        <v>21.0</v>
      </c>
      <c r="D157" s="13">
        <v>1735.0</v>
      </c>
      <c r="E157" s="13">
        <v>1568.0</v>
      </c>
    </row>
    <row r="158" ht="14.25" customHeight="1">
      <c r="A158" s="18">
        <v>43960.0</v>
      </c>
      <c r="B158" s="13" t="s">
        <v>8</v>
      </c>
      <c r="C158" s="13">
        <v>19.0</v>
      </c>
      <c r="D158" s="13">
        <v>1542.0</v>
      </c>
      <c r="E158" s="13">
        <v>1412.0</v>
      </c>
    </row>
    <row r="159" ht="14.25" customHeight="1">
      <c r="A159" s="18">
        <v>43960.0</v>
      </c>
      <c r="B159" s="13" t="s">
        <v>9</v>
      </c>
      <c r="C159" s="13">
        <v>54.0</v>
      </c>
      <c r="D159" s="13">
        <v>11288.0</v>
      </c>
      <c r="E159" s="13">
        <v>10492.0</v>
      </c>
    </row>
    <row r="160" ht="14.25" customHeight="1">
      <c r="A160" s="18">
        <v>43960.0</v>
      </c>
      <c r="B160" s="13" t="s">
        <v>10</v>
      </c>
      <c r="C160" s="13">
        <v>59.0</v>
      </c>
      <c r="D160" s="13">
        <v>12016.0</v>
      </c>
      <c r="E160" s="13">
        <v>11137.0</v>
      </c>
    </row>
    <row r="161" ht="14.25" customHeight="1">
      <c r="A161" s="18">
        <v>43960.0</v>
      </c>
      <c r="B161" s="13" t="s">
        <v>11</v>
      </c>
      <c r="C161" s="13">
        <v>19.0</v>
      </c>
      <c r="D161" s="13">
        <v>1851.0</v>
      </c>
      <c r="E161" s="13">
        <v>1635.0</v>
      </c>
    </row>
    <row r="162" ht="14.25" customHeight="1">
      <c r="A162" s="18">
        <v>43960.0</v>
      </c>
      <c r="B162" s="13" t="s">
        <v>12</v>
      </c>
      <c r="C162" s="13">
        <v>15.0</v>
      </c>
      <c r="D162" s="13">
        <v>654.0</v>
      </c>
      <c r="E162" s="13">
        <v>570.0</v>
      </c>
    </row>
    <row r="163" ht="14.25" customHeight="1">
      <c r="A163" s="18">
        <v>43960.0</v>
      </c>
      <c r="B163" s="13" t="s">
        <v>13</v>
      </c>
      <c r="C163" s="13">
        <v>15.0</v>
      </c>
      <c r="D163" s="13">
        <v>849.0</v>
      </c>
      <c r="E163" s="13">
        <v>740.0</v>
      </c>
    </row>
    <row r="164" ht="14.25" customHeight="1">
      <c r="A164" s="18">
        <v>43960.0</v>
      </c>
      <c r="B164" s="13" t="s">
        <v>14</v>
      </c>
      <c r="C164" s="13">
        <v>15.0</v>
      </c>
      <c r="D164" s="13">
        <v>623.0</v>
      </c>
      <c r="E164" s="13">
        <v>535.0</v>
      </c>
    </row>
    <row r="165" ht="14.25" customHeight="1">
      <c r="A165" s="18">
        <v>43960.0</v>
      </c>
      <c r="B165" s="13" t="s">
        <v>16</v>
      </c>
      <c r="C165" s="13">
        <v>125.0</v>
      </c>
      <c r="D165" s="13">
        <v>20132.0</v>
      </c>
      <c r="E165" s="13">
        <v>18617.0</v>
      </c>
    </row>
    <row r="166" ht="14.25" customHeight="1">
      <c r="A166" s="18">
        <v>43960.0</v>
      </c>
      <c r="B166" s="13" t="s">
        <v>17</v>
      </c>
      <c r="C166" s="13">
        <v>129.0</v>
      </c>
      <c r="D166" s="13">
        <v>16420.0</v>
      </c>
      <c r="E166" s="13">
        <v>15169.0</v>
      </c>
    </row>
    <row r="167" ht="14.25" customHeight="1">
      <c r="A167" s="18">
        <v>43960.0</v>
      </c>
      <c r="B167" s="13" t="s">
        <v>18</v>
      </c>
      <c r="C167" s="13">
        <v>10.0</v>
      </c>
      <c r="D167" s="13">
        <v>644.0</v>
      </c>
      <c r="E167" s="13">
        <v>559.0</v>
      </c>
    </row>
    <row r="168" ht="14.25" customHeight="1">
      <c r="A168" s="18">
        <v>43961.0</v>
      </c>
      <c r="B168" s="13" t="s">
        <v>4</v>
      </c>
      <c r="C168" s="13">
        <v>36.0</v>
      </c>
      <c r="D168" s="13">
        <v>5746.0</v>
      </c>
      <c r="E168" s="13">
        <v>5277.0</v>
      </c>
    </row>
    <row r="169" ht="14.25" customHeight="1">
      <c r="A169" s="18">
        <v>43961.0</v>
      </c>
      <c r="B169" s="13" t="s">
        <v>5</v>
      </c>
      <c r="C169" s="13">
        <v>31.0</v>
      </c>
      <c r="D169" s="13">
        <v>5495.0</v>
      </c>
      <c r="E169" s="13">
        <v>5093.0</v>
      </c>
    </row>
    <row r="170" ht="14.25" customHeight="1">
      <c r="A170" s="18">
        <v>43961.0</v>
      </c>
      <c r="B170" s="13" t="s">
        <v>6</v>
      </c>
      <c r="C170" s="13">
        <v>21.0</v>
      </c>
      <c r="D170" s="13">
        <v>2120.0</v>
      </c>
      <c r="E170" s="13">
        <v>1921.0</v>
      </c>
    </row>
    <row r="171" ht="14.25" customHeight="1">
      <c r="A171" s="18">
        <v>43961.0</v>
      </c>
      <c r="B171" s="13" t="s">
        <v>7</v>
      </c>
      <c r="C171" s="13">
        <v>21.0</v>
      </c>
      <c r="D171" s="13">
        <v>2016.0</v>
      </c>
      <c r="E171" s="13">
        <v>1846.0</v>
      </c>
    </row>
    <row r="172" ht="14.25" customHeight="1">
      <c r="A172" s="18">
        <v>43961.0</v>
      </c>
      <c r="B172" s="13" t="s">
        <v>8</v>
      </c>
      <c r="C172" s="13">
        <v>19.0</v>
      </c>
      <c r="D172" s="13">
        <v>1836.0</v>
      </c>
      <c r="E172" s="13">
        <v>1680.0</v>
      </c>
    </row>
    <row r="173" ht="14.25" customHeight="1">
      <c r="A173" s="18">
        <v>43961.0</v>
      </c>
      <c r="B173" s="13" t="s">
        <v>9</v>
      </c>
      <c r="C173" s="13">
        <v>54.0</v>
      </c>
      <c r="D173" s="13">
        <v>13832.0</v>
      </c>
      <c r="E173" s="13">
        <v>12864.0</v>
      </c>
    </row>
    <row r="174" ht="14.25" customHeight="1">
      <c r="A174" s="18">
        <v>43961.0</v>
      </c>
      <c r="B174" s="13" t="s">
        <v>10</v>
      </c>
      <c r="C174" s="13">
        <v>59.0</v>
      </c>
      <c r="D174" s="13">
        <v>14569.0</v>
      </c>
      <c r="E174" s="13">
        <v>13566.0</v>
      </c>
    </row>
    <row r="175" ht="14.25" customHeight="1">
      <c r="A175" s="18">
        <v>43961.0</v>
      </c>
      <c r="B175" s="13" t="s">
        <v>11</v>
      </c>
      <c r="C175" s="13">
        <v>19.0</v>
      </c>
      <c r="D175" s="13">
        <v>1848.0</v>
      </c>
      <c r="E175" s="13">
        <v>1649.0</v>
      </c>
    </row>
    <row r="176" ht="14.25" customHeight="1">
      <c r="A176" s="18">
        <v>43961.0</v>
      </c>
      <c r="B176" s="13" t="s">
        <v>12</v>
      </c>
      <c r="C176" s="13">
        <v>15.0</v>
      </c>
      <c r="D176" s="13">
        <v>792.0</v>
      </c>
      <c r="E176" s="13">
        <v>695.0</v>
      </c>
    </row>
    <row r="177" ht="14.25" customHeight="1">
      <c r="A177" s="18">
        <v>43961.0</v>
      </c>
      <c r="B177" s="13" t="s">
        <v>13</v>
      </c>
      <c r="C177" s="13">
        <v>15.0</v>
      </c>
      <c r="D177" s="13">
        <v>950.0</v>
      </c>
      <c r="E177" s="13">
        <v>848.0</v>
      </c>
    </row>
    <row r="178" ht="14.25" customHeight="1">
      <c r="A178" s="18">
        <v>43961.0</v>
      </c>
      <c r="B178" s="13" t="s">
        <v>14</v>
      </c>
      <c r="C178" s="13">
        <v>15.0</v>
      </c>
      <c r="D178" s="13">
        <v>706.0</v>
      </c>
      <c r="E178" s="13">
        <v>608.0</v>
      </c>
    </row>
    <row r="179" ht="14.25" customHeight="1">
      <c r="A179" s="18">
        <v>43961.0</v>
      </c>
      <c r="B179" s="13" t="s">
        <v>16</v>
      </c>
      <c r="C179" s="13">
        <v>125.0</v>
      </c>
      <c r="D179" s="13">
        <v>20368.0</v>
      </c>
      <c r="E179" s="13">
        <v>18884.0</v>
      </c>
    </row>
    <row r="180" ht="14.25" customHeight="1">
      <c r="A180" s="18">
        <v>43961.0</v>
      </c>
      <c r="B180" s="13" t="s">
        <v>17</v>
      </c>
      <c r="C180" s="13">
        <v>129.0</v>
      </c>
      <c r="D180" s="13">
        <v>16437.0</v>
      </c>
      <c r="E180" s="13">
        <v>15285.0</v>
      </c>
    </row>
    <row r="181" ht="14.25" customHeight="1">
      <c r="A181" s="18">
        <v>43961.0</v>
      </c>
      <c r="B181" s="13" t="s">
        <v>18</v>
      </c>
      <c r="C181" s="13">
        <v>10.0</v>
      </c>
      <c r="D181" s="13">
        <v>642.0</v>
      </c>
      <c r="E181" s="13">
        <v>556.0</v>
      </c>
    </row>
    <row r="182" ht="14.25" customHeight="1">
      <c r="A182" s="18">
        <v>43962.0</v>
      </c>
      <c r="B182" s="13" t="s">
        <v>4</v>
      </c>
      <c r="C182" s="13">
        <v>36.0</v>
      </c>
      <c r="D182" s="13">
        <v>4150.0</v>
      </c>
      <c r="E182" s="13">
        <v>3838.0</v>
      </c>
    </row>
    <row r="183" ht="14.25" customHeight="1">
      <c r="A183" s="18">
        <v>43962.0</v>
      </c>
      <c r="B183" s="13" t="s">
        <v>5</v>
      </c>
      <c r="C183" s="13">
        <v>31.0</v>
      </c>
      <c r="D183" s="13">
        <v>4826.0</v>
      </c>
      <c r="E183" s="13">
        <v>4483.0</v>
      </c>
    </row>
    <row r="184" ht="14.25" customHeight="1">
      <c r="A184" s="18">
        <v>43962.0</v>
      </c>
      <c r="B184" s="13" t="s">
        <v>6</v>
      </c>
      <c r="C184" s="13">
        <v>21.0</v>
      </c>
      <c r="D184" s="13">
        <v>1916.0</v>
      </c>
      <c r="E184" s="13">
        <v>1733.0</v>
      </c>
    </row>
    <row r="185" ht="14.25" customHeight="1">
      <c r="A185" s="18">
        <v>43962.0</v>
      </c>
      <c r="B185" s="13" t="s">
        <v>7</v>
      </c>
      <c r="C185" s="13">
        <v>21.0</v>
      </c>
      <c r="D185" s="13">
        <v>1597.0</v>
      </c>
      <c r="E185" s="13">
        <v>1457.0</v>
      </c>
    </row>
    <row r="186" ht="14.25" customHeight="1">
      <c r="A186" s="18">
        <v>43962.0</v>
      </c>
      <c r="B186" s="13" t="s">
        <v>8</v>
      </c>
      <c r="C186" s="13">
        <v>19.0</v>
      </c>
      <c r="D186" s="13">
        <v>1527.0</v>
      </c>
      <c r="E186" s="13">
        <v>1389.0</v>
      </c>
    </row>
    <row r="187" ht="14.25" customHeight="1">
      <c r="A187" s="18">
        <v>43962.0</v>
      </c>
      <c r="B187" s="13" t="s">
        <v>9</v>
      </c>
      <c r="C187" s="13">
        <v>54.0</v>
      </c>
      <c r="D187" s="13">
        <v>10570.0</v>
      </c>
      <c r="E187" s="13">
        <v>9926.0</v>
      </c>
    </row>
    <row r="188" ht="14.25" customHeight="1">
      <c r="A188" s="18">
        <v>43962.0</v>
      </c>
      <c r="B188" s="13" t="s">
        <v>10</v>
      </c>
      <c r="C188" s="13">
        <v>60.0</v>
      </c>
      <c r="D188" s="13">
        <v>11100.0</v>
      </c>
      <c r="E188" s="13">
        <v>10407.0</v>
      </c>
    </row>
    <row r="189" ht="14.25" customHeight="1">
      <c r="A189" s="18">
        <v>43962.0</v>
      </c>
      <c r="B189" s="13" t="s">
        <v>11</v>
      </c>
      <c r="C189" s="13">
        <v>19.0</v>
      </c>
      <c r="D189" s="13">
        <v>2530.0</v>
      </c>
      <c r="E189" s="13">
        <v>2270.0</v>
      </c>
    </row>
    <row r="190" ht="14.25" customHeight="1">
      <c r="A190" s="18">
        <v>43962.0</v>
      </c>
      <c r="B190" s="13" t="s">
        <v>12</v>
      </c>
      <c r="C190" s="13">
        <v>15.0</v>
      </c>
      <c r="D190" s="13">
        <v>654.0</v>
      </c>
      <c r="E190" s="13">
        <v>564.0</v>
      </c>
    </row>
    <row r="191" ht="14.25" customHeight="1">
      <c r="A191" s="18">
        <v>43962.0</v>
      </c>
      <c r="B191" s="13" t="s">
        <v>13</v>
      </c>
      <c r="C191" s="13">
        <v>15.0</v>
      </c>
      <c r="D191" s="13">
        <v>812.0</v>
      </c>
      <c r="E191" s="13">
        <v>714.0</v>
      </c>
    </row>
    <row r="192" ht="14.25" customHeight="1">
      <c r="A192" s="18">
        <v>43962.0</v>
      </c>
      <c r="B192" s="13" t="s">
        <v>14</v>
      </c>
      <c r="C192" s="13">
        <v>15.0</v>
      </c>
      <c r="D192" s="13">
        <v>684.0</v>
      </c>
      <c r="E192" s="13">
        <v>585.0</v>
      </c>
    </row>
    <row r="193" ht="14.25" customHeight="1">
      <c r="A193" s="18">
        <v>43962.0</v>
      </c>
      <c r="B193" s="13" t="s">
        <v>16</v>
      </c>
      <c r="C193" s="13">
        <v>125.0</v>
      </c>
      <c r="D193" s="13">
        <v>18066.0</v>
      </c>
      <c r="E193" s="13">
        <v>16883.0</v>
      </c>
    </row>
    <row r="194" ht="14.25" customHeight="1">
      <c r="A194" s="18">
        <v>43962.0</v>
      </c>
      <c r="B194" s="13" t="s">
        <v>17</v>
      </c>
      <c r="C194" s="13">
        <v>129.0</v>
      </c>
      <c r="D194" s="13">
        <v>14043.0</v>
      </c>
      <c r="E194" s="13">
        <v>13167.0</v>
      </c>
    </row>
    <row r="195" ht="14.25" customHeight="1">
      <c r="A195" s="18">
        <v>43962.0</v>
      </c>
      <c r="B195" s="13" t="s">
        <v>18</v>
      </c>
      <c r="C195" s="13">
        <v>10.0</v>
      </c>
      <c r="D195" s="13">
        <v>494.0</v>
      </c>
      <c r="E195" s="13">
        <v>421.0</v>
      </c>
    </row>
    <row r="196" ht="14.25" customHeight="1">
      <c r="A196" s="18">
        <v>43963.0</v>
      </c>
      <c r="B196" s="13" t="s">
        <v>4</v>
      </c>
      <c r="C196" s="13">
        <v>36.0</v>
      </c>
      <c r="D196" s="13">
        <v>4418.0</v>
      </c>
      <c r="E196" s="13">
        <v>4088.0</v>
      </c>
    </row>
    <row r="197" ht="14.25" customHeight="1">
      <c r="A197" s="18">
        <v>43963.0</v>
      </c>
      <c r="B197" s="13" t="s">
        <v>5</v>
      </c>
      <c r="C197" s="13">
        <v>31.0</v>
      </c>
      <c r="D197" s="13">
        <v>4800.0</v>
      </c>
      <c r="E197" s="13">
        <v>4470.0</v>
      </c>
    </row>
    <row r="198" ht="14.25" customHeight="1">
      <c r="A198" s="18">
        <v>43963.0</v>
      </c>
      <c r="B198" s="13" t="s">
        <v>6</v>
      </c>
      <c r="C198" s="13">
        <v>21.0</v>
      </c>
      <c r="D198" s="13">
        <v>1926.0</v>
      </c>
      <c r="E198" s="13">
        <v>1745.0</v>
      </c>
    </row>
    <row r="199" ht="14.25" customHeight="1">
      <c r="A199" s="18">
        <v>43963.0</v>
      </c>
      <c r="B199" s="13" t="s">
        <v>7</v>
      </c>
      <c r="C199" s="13">
        <v>21.0</v>
      </c>
      <c r="D199" s="13">
        <v>1656.0</v>
      </c>
      <c r="E199" s="13">
        <v>1516.0</v>
      </c>
    </row>
    <row r="200" ht="14.25" customHeight="1">
      <c r="A200" s="18">
        <v>43963.0</v>
      </c>
      <c r="B200" s="13" t="s">
        <v>8</v>
      </c>
      <c r="C200" s="13">
        <v>19.0</v>
      </c>
      <c r="D200" s="13">
        <v>1598.0</v>
      </c>
      <c r="E200" s="13">
        <v>1454.0</v>
      </c>
    </row>
    <row r="201" ht="14.25" customHeight="1">
      <c r="A201" s="18">
        <v>43963.0</v>
      </c>
      <c r="B201" s="13" t="s">
        <v>9</v>
      </c>
      <c r="C201" s="13">
        <v>54.0</v>
      </c>
      <c r="D201" s="13">
        <v>11614.0</v>
      </c>
      <c r="E201" s="13">
        <v>10862.0</v>
      </c>
    </row>
    <row r="202" ht="14.25" customHeight="1">
      <c r="A202" s="18">
        <v>43963.0</v>
      </c>
      <c r="B202" s="13" t="s">
        <v>10</v>
      </c>
      <c r="C202" s="13">
        <v>60.0</v>
      </c>
      <c r="D202" s="13">
        <v>12000.0</v>
      </c>
      <c r="E202" s="13">
        <v>11194.0</v>
      </c>
    </row>
    <row r="203" ht="14.25" customHeight="1">
      <c r="A203" s="18">
        <v>43963.0</v>
      </c>
      <c r="B203" s="13" t="s">
        <v>11</v>
      </c>
      <c r="C203" s="13">
        <v>19.0</v>
      </c>
      <c r="D203" s="13">
        <v>1649.0</v>
      </c>
      <c r="E203" s="13">
        <v>1460.0</v>
      </c>
    </row>
    <row r="204" ht="14.25" customHeight="1">
      <c r="A204" s="18">
        <v>43963.0</v>
      </c>
      <c r="B204" s="13" t="s">
        <v>12</v>
      </c>
      <c r="C204" s="13">
        <v>15.0</v>
      </c>
      <c r="D204" s="13">
        <v>750.0</v>
      </c>
      <c r="E204" s="13">
        <v>659.0</v>
      </c>
    </row>
    <row r="205" ht="14.25" customHeight="1">
      <c r="A205" s="18">
        <v>43963.0</v>
      </c>
      <c r="B205" s="13" t="s">
        <v>13</v>
      </c>
      <c r="C205" s="13">
        <v>15.0</v>
      </c>
      <c r="D205" s="13">
        <v>845.0</v>
      </c>
      <c r="E205" s="13">
        <v>743.0</v>
      </c>
    </row>
    <row r="206" ht="14.25" customHeight="1">
      <c r="A206" s="18">
        <v>43963.0</v>
      </c>
      <c r="B206" s="13" t="s">
        <v>14</v>
      </c>
      <c r="C206" s="13">
        <v>15.0</v>
      </c>
      <c r="D206" s="13">
        <v>624.0</v>
      </c>
      <c r="E206" s="13">
        <v>538.0</v>
      </c>
    </row>
    <row r="207" ht="14.25" customHeight="1">
      <c r="A207" s="18">
        <v>43963.0</v>
      </c>
      <c r="B207" s="13" t="s">
        <v>16</v>
      </c>
      <c r="C207" s="13">
        <v>125.0</v>
      </c>
      <c r="D207" s="13">
        <v>21106.0</v>
      </c>
      <c r="E207" s="13">
        <v>19651.0</v>
      </c>
    </row>
    <row r="208" ht="14.25" customHeight="1">
      <c r="A208" s="18">
        <v>43963.0</v>
      </c>
      <c r="B208" s="13" t="s">
        <v>17</v>
      </c>
      <c r="C208" s="13">
        <v>129.0</v>
      </c>
      <c r="D208" s="13">
        <v>16387.0</v>
      </c>
      <c r="E208" s="13">
        <v>15322.0</v>
      </c>
    </row>
    <row r="209" ht="14.25" customHeight="1">
      <c r="A209" s="18">
        <v>43963.0</v>
      </c>
      <c r="B209" s="13" t="s">
        <v>18</v>
      </c>
      <c r="C209" s="13">
        <v>10.0</v>
      </c>
      <c r="D209" s="13">
        <v>526.0</v>
      </c>
      <c r="E209" s="13">
        <v>448.0</v>
      </c>
    </row>
    <row r="210" ht="14.25" customHeight="1">
      <c r="A210" s="18">
        <v>43964.0</v>
      </c>
      <c r="B210" s="13" t="s">
        <v>4</v>
      </c>
      <c r="C210" s="13">
        <v>36.0</v>
      </c>
      <c r="D210" s="13">
        <v>4967.0</v>
      </c>
      <c r="E210" s="13">
        <v>4583.0</v>
      </c>
    </row>
    <row r="211" ht="14.25" customHeight="1">
      <c r="A211" s="18">
        <v>43964.0</v>
      </c>
      <c r="B211" s="13" t="s">
        <v>5</v>
      </c>
      <c r="C211" s="13">
        <v>31.0</v>
      </c>
      <c r="D211" s="13">
        <v>5251.0</v>
      </c>
      <c r="E211" s="13">
        <v>4853.0</v>
      </c>
    </row>
    <row r="212" ht="14.25" customHeight="1">
      <c r="A212" s="18">
        <v>43964.0</v>
      </c>
      <c r="B212" s="13" t="s">
        <v>6</v>
      </c>
      <c r="C212" s="13">
        <v>21.0</v>
      </c>
      <c r="D212" s="13">
        <v>2061.0</v>
      </c>
      <c r="E212" s="13">
        <v>1876.0</v>
      </c>
    </row>
    <row r="213" ht="14.25" customHeight="1">
      <c r="A213" s="18">
        <v>43964.0</v>
      </c>
      <c r="B213" s="13" t="s">
        <v>7</v>
      </c>
      <c r="C213" s="13">
        <v>21.0</v>
      </c>
      <c r="D213" s="13">
        <v>1698.0</v>
      </c>
      <c r="E213" s="13">
        <v>1554.0</v>
      </c>
    </row>
    <row r="214" ht="14.25" customHeight="1">
      <c r="A214" s="18">
        <v>43964.0</v>
      </c>
      <c r="B214" s="13" t="s">
        <v>8</v>
      </c>
      <c r="C214" s="13">
        <v>19.0</v>
      </c>
      <c r="D214" s="13">
        <v>1605.0</v>
      </c>
      <c r="E214" s="13">
        <v>1447.0</v>
      </c>
    </row>
    <row r="215" ht="14.25" customHeight="1">
      <c r="A215" s="18">
        <v>43964.0</v>
      </c>
      <c r="B215" s="13" t="s">
        <v>9</v>
      </c>
      <c r="C215" s="13">
        <v>54.0</v>
      </c>
      <c r="D215" s="13">
        <v>11522.0</v>
      </c>
      <c r="E215" s="13">
        <v>10803.0</v>
      </c>
    </row>
    <row r="216" ht="14.25" customHeight="1">
      <c r="A216" s="18">
        <v>43964.0</v>
      </c>
      <c r="B216" s="13" t="s">
        <v>10</v>
      </c>
      <c r="C216" s="13">
        <v>60.0</v>
      </c>
      <c r="D216" s="13">
        <v>12007.0</v>
      </c>
      <c r="E216" s="13">
        <v>11245.0</v>
      </c>
    </row>
    <row r="217" ht="14.25" customHeight="1">
      <c r="A217" s="18">
        <v>43964.0</v>
      </c>
      <c r="B217" s="13" t="s">
        <v>11</v>
      </c>
      <c r="C217" s="13">
        <v>19.0</v>
      </c>
      <c r="D217" s="13">
        <v>1625.0</v>
      </c>
      <c r="E217" s="13">
        <v>1444.0</v>
      </c>
    </row>
    <row r="218" ht="14.25" customHeight="1">
      <c r="A218" s="18">
        <v>43964.0</v>
      </c>
      <c r="B218" s="13" t="s">
        <v>12</v>
      </c>
      <c r="C218" s="13">
        <v>15.0</v>
      </c>
      <c r="D218" s="13">
        <v>854.0</v>
      </c>
      <c r="E218" s="13">
        <v>756.0</v>
      </c>
    </row>
    <row r="219" ht="14.25" customHeight="1">
      <c r="A219" s="18">
        <v>43964.0</v>
      </c>
      <c r="B219" s="13" t="s">
        <v>13</v>
      </c>
      <c r="C219" s="13">
        <v>15.0</v>
      </c>
      <c r="D219" s="13">
        <v>898.0</v>
      </c>
      <c r="E219" s="13">
        <v>795.0</v>
      </c>
    </row>
    <row r="220" ht="14.25" customHeight="1">
      <c r="A220" s="18">
        <v>43964.0</v>
      </c>
      <c r="B220" s="13" t="s">
        <v>14</v>
      </c>
      <c r="C220" s="13">
        <v>15.0</v>
      </c>
      <c r="D220" s="13">
        <v>599.0</v>
      </c>
      <c r="E220" s="13">
        <v>515.0</v>
      </c>
    </row>
    <row r="221" ht="14.25" customHeight="1">
      <c r="A221" s="18">
        <v>43964.0</v>
      </c>
      <c r="B221" s="13" t="s">
        <v>16</v>
      </c>
      <c r="C221" s="13">
        <v>125.0</v>
      </c>
      <c r="D221" s="13">
        <v>19965.0</v>
      </c>
      <c r="E221" s="13">
        <v>18573.0</v>
      </c>
    </row>
    <row r="222" ht="14.25" customHeight="1">
      <c r="A222" s="18">
        <v>43964.0</v>
      </c>
      <c r="B222" s="13" t="s">
        <v>17</v>
      </c>
      <c r="C222" s="13">
        <v>129.0</v>
      </c>
      <c r="D222" s="13">
        <v>15304.0</v>
      </c>
      <c r="E222" s="13">
        <v>14315.0</v>
      </c>
    </row>
    <row r="223" ht="14.25" customHeight="1">
      <c r="A223" s="18">
        <v>43964.0</v>
      </c>
      <c r="B223" s="13" t="s">
        <v>18</v>
      </c>
      <c r="C223" s="13">
        <v>10.0</v>
      </c>
      <c r="D223" s="13">
        <v>612.0</v>
      </c>
      <c r="E223" s="13">
        <v>530.0</v>
      </c>
    </row>
    <row r="224" ht="14.25" customHeight="1">
      <c r="A224" s="18">
        <v>43965.0</v>
      </c>
      <c r="B224" s="13" t="s">
        <v>4</v>
      </c>
      <c r="C224" s="13">
        <v>36.0</v>
      </c>
      <c r="D224" s="13">
        <v>4285.0</v>
      </c>
      <c r="E224" s="13">
        <v>3950.0</v>
      </c>
    </row>
    <row r="225" ht="14.25" customHeight="1">
      <c r="A225" s="18">
        <v>43965.0</v>
      </c>
      <c r="B225" s="13" t="s">
        <v>5</v>
      </c>
      <c r="C225" s="13">
        <v>31.0</v>
      </c>
      <c r="D225" s="13">
        <v>4695.0</v>
      </c>
      <c r="E225" s="13">
        <v>4372.0</v>
      </c>
    </row>
    <row r="226" ht="14.25" customHeight="1">
      <c r="A226" s="18">
        <v>43965.0</v>
      </c>
      <c r="B226" s="13" t="s">
        <v>6</v>
      </c>
      <c r="C226" s="13">
        <v>21.0</v>
      </c>
      <c r="D226" s="13">
        <v>1993.0</v>
      </c>
      <c r="E226" s="13">
        <v>1796.0</v>
      </c>
    </row>
    <row r="227" ht="14.25" customHeight="1">
      <c r="A227" s="18">
        <v>43965.0</v>
      </c>
      <c r="B227" s="13" t="s">
        <v>7</v>
      </c>
      <c r="C227" s="13">
        <v>21.0</v>
      </c>
      <c r="D227" s="13">
        <v>1706.0</v>
      </c>
      <c r="E227" s="13">
        <v>1548.0</v>
      </c>
    </row>
    <row r="228" ht="14.25" customHeight="1">
      <c r="A228" s="18">
        <v>43965.0</v>
      </c>
      <c r="B228" s="13" t="s">
        <v>8</v>
      </c>
      <c r="C228" s="13">
        <v>19.0</v>
      </c>
      <c r="D228" s="13">
        <v>1635.0</v>
      </c>
      <c r="E228" s="13">
        <v>1487.0</v>
      </c>
    </row>
    <row r="229" ht="14.25" customHeight="1">
      <c r="A229" s="18">
        <v>43965.0</v>
      </c>
      <c r="B229" s="13" t="s">
        <v>9</v>
      </c>
      <c r="C229" s="13">
        <v>54.0</v>
      </c>
      <c r="D229" s="13">
        <v>11194.0</v>
      </c>
      <c r="E229" s="13">
        <v>10554.0</v>
      </c>
    </row>
    <row r="230" ht="14.25" customHeight="1">
      <c r="A230" s="18">
        <v>43965.0</v>
      </c>
      <c r="B230" s="13" t="s">
        <v>10</v>
      </c>
      <c r="C230" s="13">
        <v>60.0</v>
      </c>
      <c r="D230" s="13">
        <v>11935.0</v>
      </c>
      <c r="E230" s="13">
        <v>11178.0</v>
      </c>
    </row>
    <row r="231" ht="14.25" customHeight="1">
      <c r="A231" s="18">
        <v>43965.0</v>
      </c>
      <c r="B231" s="13" t="s">
        <v>11</v>
      </c>
      <c r="C231" s="13">
        <v>19.0</v>
      </c>
      <c r="D231" s="13">
        <v>1675.0</v>
      </c>
      <c r="E231" s="13">
        <v>1475.0</v>
      </c>
    </row>
    <row r="232" ht="14.25" customHeight="1">
      <c r="A232" s="18">
        <v>43965.0</v>
      </c>
      <c r="B232" s="13" t="s">
        <v>12</v>
      </c>
      <c r="C232" s="13">
        <v>16.0</v>
      </c>
      <c r="D232" s="13">
        <v>834.0</v>
      </c>
      <c r="E232" s="13">
        <v>735.0</v>
      </c>
    </row>
    <row r="233" ht="14.25" customHeight="1">
      <c r="A233" s="18">
        <v>43965.0</v>
      </c>
      <c r="B233" s="13" t="s">
        <v>13</v>
      </c>
      <c r="C233" s="13">
        <v>15.0</v>
      </c>
      <c r="D233" s="13">
        <v>890.0</v>
      </c>
      <c r="E233" s="13">
        <v>777.0</v>
      </c>
    </row>
    <row r="234" ht="14.25" customHeight="1">
      <c r="A234" s="18">
        <v>43965.0</v>
      </c>
      <c r="B234" s="13" t="s">
        <v>14</v>
      </c>
      <c r="C234" s="13">
        <v>15.0</v>
      </c>
      <c r="D234" s="13">
        <v>638.0</v>
      </c>
      <c r="E234" s="13">
        <v>548.0</v>
      </c>
    </row>
    <row r="235" ht="14.25" customHeight="1">
      <c r="A235" s="18">
        <v>43965.0</v>
      </c>
      <c r="B235" s="13" t="s">
        <v>16</v>
      </c>
      <c r="C235" s="13">
        <v>125.0</v>
      </c>
      <c r="D235" s="13">
        <v>20247.0</v>
      </c>
      <c r="E235" s="13">
        <v>18812.0</v>
      </c>
    </row>
    <row r="236" ht="14.25" customHeight="1">
      <c r="A236" s="18">
        <v>43965.0</v>
      </c>
      <c r="B236" s="13" t="s">
        <v>17</v>
      </c>
      <c r="C236" s="13">
        <v>129.0</v>
      </c>
      <c r="D236" s="13">
        <v>15804.0</v>
      </c>
      <c r="E236" s="13">
        <v>14738.0</v>
      </c>
    </row>
    <row r="237" ht="14.25" customHeight="1">
      <c r="A237" s="18">
        <v>43965.0</v>
      </c>
      <c r="B237" s="13" t="s">
        <v>18</v>
      </c>
      <c r="C237" s="13">
        <v>10.0</v>
      </c>
      <c r="D237" s="13">
        <v>627.0</v>
      </c>
      <c r="E237" s="13">
        <v>545.0</v>
      </c>
    </row>
    <row r="238" ht="14.25" customHeight="1">
      <c r="A238" s="18">
        <v>43966.0</v>
      </c>
      <c r="B238" s="13" t="s">
        <v>4</v>
      </c>
      <c r="C238" s="13">
        <v>36.0</v>
      </c>
      <c r="D238" s="13">
        <v>4862.0</v>
      </c>
      <c r="E238" s="13">
        <v>4476.0</v>
      </c>
    </row>
    <row r="239" ht="14.25" customHeight="1">
      <c r="A239" s="18">
        <v>43966.0</v>
      </c>
      <c r="B239" s="13" t="s">
        <v>5</v>
      </c>
      <c r="C239" s="13">
        <v>31.0</v>
      </c>
      <c r="D239" s="13">
        <v>5184.0</v>
      </c>
      <c r="E239" s="13">
        <v>4778.0</v>
      </c>
    </row>
    <row r="240" ht="14.25" customHeight="1">
      <c r="A240" s="18">
        <v>43966.0</v>
      </c>
      <c r="B240" s="13" t="s">
        <v>6</v>
      </c>
      <c r="C240" s="13">
        <v>21.0</v>
      </c>
      <c r="D240" s="13">
        <v>2255.0</v>
      </c>
      <c r="E240" s="13">
        <v>2045.0</v>
      </c>
    </row>
    <row r="241" ht="14.25" customHeight="1">
      <c r="A241" s="18">
        <v>43966.0</v>
      </c>
      <c r="B241" s="13" t="s">
        <v>7</v>
      </c>
      <c r="C241" s="13">
        <v>21.0</v>
      </c>
      <c r="D241" s="13">
        <v>1926.0</v>
      </c>
      <c r="E241" s="13">
        <v>1742.0</v>
      </c>
    </row>
    <row r="242" ht="14.25" customHeight="1">
      <c r="A242" s="18">
        <v>43966.0</v>
      </c>
      <c r="B242" s="13" t="s">
        <v>8</v>
      </c>
      <c r="C242" s="13">
        <v>19.0</v>
      </c>
      <c r="D242" s="13">
        <v>1780.0</v>
      </c>
      <c r="E242" s="13">
        <v>1615.0</v>
      </c>
    </row>
    <row r="243" ht="14.25" customHeight="1">
      <c r="A243" s="18">
        <v>43966.0</v>
      </c>
      <c r="B243" s="13" t="s">
        <v>9</v>
      </c>
      <c r="C243" s="13">
        <v>54.0</v>
      </c>
      <c r="D243" s="13">
        <v>12791.0</v>
      </c>
      <c r="E243" s="13">
        <v>11950.0</v>
      </c>
    </row>
    <row r="244" ht="14.25" customHeight="1">
      <c r="A244" s="18">
        <v>43966.0</v>
      </c>
      <c r="B244" s="13" t="s">
        <v>10</v>
      </c>
      <c r="C244" s="13">
        <v>60.0</v>
      </c>
      <c r="D244" s="13">
        <v>13544.0</v>
      </c>
      <c r="E244" s="13">
        <v>12643.0</v>
      </c>
    </row>
    <row r="245" ht="14.25" customHeight="1">
      <c r="A245" s="18">
        <v>43966.0</v>
      </c>
      <c r="B245" s="13" t="s">
        <v>11</v>
      </c>
      <c r="C245" s="13">
        <v>19.0</v>
      </c>
      <c r="D245" s="13">
        <v>1940.0</v>
      </c>
      <c r="E245" s="13">
        <v>1715.0</v>
      </c>
    </row>
    <row r="246" ht="14.25" customHeight="1">
      <c r="A246" s="18">
        <v>43966.0</v>
      </c>
      <c r="B246" s="13" t="s">
        <v>12</v>
      </c>
      <c r="C246" s="13">
        <v>16.0</v>
      </c>
      <c r="D246" s="13">
        <v>817.0</v>
      </c>
      <c r="E246" s="13">
        <v>718.0</v>
      </c>
    </row>
    <row r="247" ht="14.25" customHeight="1">
      <c r="A247" s="18">
        <v>43966.0</v>
      </c>
      <c r="B247" s="13" t="s">
        <v>13</v>
      </c>
      <c r="C247" s="13">
        <v>15.0</v>
      </c>
      <c r="D247" s="13">
        <v>980.0</v>
      </c>
      <c r="E247" s="13">
        <v>867.0</v>
      </c>
    </row>
    <row r="248" ht="14.25" customHeight="1">
      <c r="A248" s="18">
        <v>43966.0</v>
      </c>
      <c r="B248" s="13" t="s">
        <v>14</v>
      </c>
      <c r="C248" s="13">
        <v>15.0</v>
      </c>
      <c r="D248" s="13">
        <v>688.0</v>
      </c>
      <c r="E248" s="13">
        <v>598.0</v>
      </c>
    </row>
    <row r="249" ht="14.25" customHeight="1">
      <c r="A249" s="18">
        <v>43966.0</v>
      </c>
      <c r="B249" s="13" t="s">
        <v>16</v>
      </c>
      <c r="C249" s="13">
        <v>125.0</v>
      </c>
      <c r="D249" s="13">
        <v>21862.0</v>
      </c>
      <c r="E249" s="13">
        <v>20235.0</v>
      </c>
    </row>
    <row r="250" ht="14.25" customHeight="1">
      <c r="A250" s="18">
        <v>43966.0</v>
      </c>
      <c r="B250" s="13" t="s">
        <v>17</v>
      </c>
      <c r="C250" s="13">
        <v>129.0</v>
      </c>
      <c r="D250" s="13">
        <v>17808.0</v>
      </c>
      <c r="E250" s="13">
        <v>16486.0</v>
      </c>
    </row>
    <row r="251" ht="14.25" customHeight="1">
      <c r="A251" s="18">
        <v>43966.0</v>
      </c>
      <c r="B251" s="13" t="s">
        <v>18</v>
      </c>
      <c r="C251" s="13">
        <v>10.0</v>
      </c>
      <c r="D251" s="13">
        <v>743.0</v>
      </c>
      <c r="E251" s="13">
        <v>652.0</v>
      </c>
    </row>
    <row r="252" ht="14.25" customHeight="1">
      <c r="A252" s="18">
        <v>43967.0</v>
      </c>
      <c r="B252" s="13" t="s">
        <v>4</v>
      </c>
      <c r="C252" s="13">
        <v>36.0</v>
      </c>
      <c r="D252" s="13">
        <v>5286.0</v>
      </c>
      <c r="E252" s="13">
        <v>4867.0</v>
      </c>
    </row>
    <row r="253" ht="14.25" customHeight="1">
      <c r="A253" s="18">
        <v>43967.0</v>
      </c>
      <c r="B253" s="13" t="s">
        <v>5</v>
      </c>
      <c r="C253" s="13">
        <v>31.0</v>
      </c>
      <c r="D253" s="13">
        <v>5593.0</v>
      </c>
      <c r="E253" s="13">
        <v>5177.0</v>
      </c>
    </row>
    <row r="254" ht="14.25" customHeight="1">
      <c r="A254" s="18">
        <v>43967.0</v>
      </c>
      <c r="B254" s="13" t="s">
        <v>6</v>
      </c>
      <c r="C254" s="13">
        <v>21.0</v>
      </c>
      <c r="D254" s="13">
        <v>2427.0</v>
      </c>
      <c r="E254" s="13">
        <v>2213.0</v>
      </c>
    </row>
    <row r="255" ht="14.25" customHeight="1">
      <c r="A255" s="18">
        <v>43967.0</v>
      </c>
      <c r="B255" s="13" t="s">
        <v>7</v>
      </c>
      <c r="C255" s="13">
        <v>21.0</v>
      </c>
      <c r="D255" s="13">
        <v>2145.0</v>
      </c>
      <c r="E255" s="13">
        <v>1947.0</v>
      </c>
    </row>
    <row r="256" ht="14.25" customHeight="1">
      <c r="A256" s="18">
        <v>43967.0</v>
      </c>
      <c r="B256" s="13" t="s">
        <v>8</v>
      </c>
      <c r="C256" s="13">
        <v>19.0</v>
      </c>
      <c r="D256" s="13">
        <v>2039.0</v>
      </c>
      <c r="E256" s="13">
        <v>1868.0</v>
      </c>
    </row>
    <row r="257" ht="14.25" customHeight="1">
      <c r="A257" s="18">
        <v>43967.0</v>
      </c>
      <c r="B257" s="13" t="s">
        <v>9</v>
      </c>
      <c r="C257" s="13">
        <v>54.0</v>
      </c>
      <c r="D257" s="13">
        <v>13170.0</v>
      </c>
      <c r="E257" s="13">
        <v>12299.0</v>
      </c>
    </row>
    <row r="258" ht="14.25" customHeight="1">
      <c r="A258" s="18">
        <v>43967.0</v>
      </c>
      <c r="B258" s="13" t="s">
        <v>10</v>
      </c>
      <c r="C258" s="13">
        <v>60.0</v>
      </c>
      <c r="D258" s="13">
        <v>14049.0</v>
      </c>
      <c r="E258" s="13">
        <v>13118.0</v>
      </c>
    </row>
    <row r="259" ht="14.25" customHeight="1">
      <c r="A259" s="18">
        <v>43967.0</v>
      </c>
      <c r="B259" s="13" t="s">
        <v>11</v>
      </c>
      <c r="C259" s="13">
        <v>19.0</v>
      </c>
      <c r="D259" s="13">
        <v>2080.0</v>
      </c>
      <c r="E259" s="13">
        <v>1844.0</v>
      </c>
    </row>
    <row r="260" ht="14.25" customHeight="1">
      <c r="A260" s="18">
        <v>43967.0</v>
      </c>
      <c r="B260" s="13" t="s">
        <v>12</v>
      </c>
      <c r="C260" s="13">
        <v>16.0</v>
      </c>
      <c r="D260" s="13">
        <v>920.0</v>
      </c>
      <c r="E260" s="13">
        <v>818.0</v>
      </c>
    </row>
    <row r="261" ht="14.25" customHeight="1">
      <c r="A261" s="18">
        <v>43967.0</v>
      </c>
      <c r="B261" s="13" t="s">
        <v>13</v>
      </c>
      <c r="C261" s="13">
        <v>15.0</v>
      </c>
      <c r="D261" s="13">
        <v>1111.0</v>
      </c>
      <c r="E261" s="13">
        <v>992.0</v>
      </c>
    </row>
    <row r="262" ht="14.25" customHeight="1">
      <c r="A262" s="18">
        <v>43967.0</v>
      </c>
      <c r="B262" s="13" t="s">
        <v>14</v>
      </c>
      <c r="C262" s="13">
        <v>15.0</v>
      </c>
      <c r="D262" s="13">
        <v>747.0</v>
      </c>
      <c r="E262" s="13">
        <v>647.0</v>
      </c>
    </row>
    <row r="263" ht="14.25" customHeight="1">
      <c r="A263" s="18">
        <v>43967.0</v>
      </c>
      <c r="B263" s="13" t="s">
        <v>16</v>
      </c>
      <c r="C263" s="13">
        <v>125.0</v>
      </c>
      <c r="D263" s="13">
        <v>22291.0</v>
      </c>
      <c r="E263" s="13">
        <v>20635.0</v>
      </c>
    </row>
    <row r="264" ht="14.25" customHeight="1">
      <c r="A264" s="18">
        <v>43967.0</v>
      </c>
      <c r="B264" s="13" t="s">
        <v>17</v>
      </c>
      <c r="C264" s="13">
        <v>129.0</v>
      </c>
      <c r="D264" s="13">
        <v>17914.0</v>
      </c>
      <c r="E264" s="13">
        <v>16631.0</v>
      </c>
    </row>
    <row r="265" ht="14.25" customHeight="1">
      <c r="A265" s="18">
        <v>43967.0</v>
      </c>
      <c r="B265" s="13" t="s">
        <v>18</v>
      </c>
      <c r="C265" s="13">
        <v>10.0</v>
      </c>
      <c r="D265" s="13">
        <v>760.0</v>
      </c>
      <c r="E265" s="13">
        <v>672.0</v>
      </c>
    </row>
    <row r="266" ht="14.25" customHeight="1">
      <c r="A266" s="18">
        <v>43968.0</v>
      </c>
      <c r="B266" s="13" t="s">
        <v>4</v>
      </c>
      <c r="C266" s="13">
        <v>36.0</v>
      </c>
      <c r="D266" s="13">
        <v>4918.0</v>
      </c>
      <c r="E266" s="13">
        <v>4554.0</v>
      </c>
    </row>
    <row r="267" ht="14.25" customHeight="1">
      <c r="A267" s="18">
        <v>43968.0</v>
      </c>
      <c r="B267" s="13" t="s">
        <v>5</v>
      </c>
      <c r="C267" s="13">
        <v>31.0</v>
      </c>
      <c r="D267" s="13">
        <v>5206.0</v>
      </c>
      <c r="E267" s="13">
        <v>4843.0</v>
      </c>
    </row>
    <row r="268" ht="14.25" customHeight="1">
      <c r="A268" s="18">
        <v>43968.0</v>
      </c>
      <c r="B268" s="13" t="s">
        <v>6</v>
      </c>
      <c r="C268" s="13">
        <v>21.0</v>
      </c>
      <c r="D268" s="13">
        <v>2054.0</v>
      </c>
      <c r="E268" s="13">
        <v>1883.0</v>
      </c>
    </row>
    <row r="269" ht="14.25" customHeight="1">
      <c r="A269" s="18">
        <v>43968.0</v>
      </c>
      <c r="B269" s="13" t="s">
        <v>7</v>
      </c>
      <c r="C269" s="13">
        <v>21.0</v>
      </c>
      <c r="D269" s="13">
        <v>1874.0</v>
      </c>
      <c r="E269" s="13">
        <v>1705.0</v>
      </c>
    </row>
    <row r="270" ht="14.25" customHeight="1">
      <c r="A270" s="18">
        <v>43968.0</v>
      </c>
      <c r="B270" s="13" t="s">
        <v>8</v>
      </c>
      <c r="C270" s="13">
        <v>19.0</v>
      </c>
      <c r="D270" s="13">
        <v>1790.0</v>
      </c>
      <c r="E270" s="13">
        <v>1633.0</v>
      </c>
    </row>
    <row r="271" ht="14.25" customHeight="1">
      <c r="A271" s="18">
        <v>43968.0</v>
      </c>
      <c r="B271" s="13" t="s">
        <v>9</v>
      </c>
      <c r="C271" s="13">
        <v>54.0</v>
      </c>
      <c r="D271" s="13">
        <v>11128.0</v>
      </c>
      <c r="E271" s="13">
        <v>10467.0</v>
      </c>
    </row>
    <row r="272" ht="14.25" customHeight="1">
      <c r="A272" s="18">
        <v>43968.0</v>
      </c>
      <c r="B272" s="13" t="s">
        <v>10</v>
      </c>
      <c r="C272" s="13">
        <v>60.0</v>
      </c>
      <c r="D272" s="13">
        <v>11698.0</v>
      </c>
      <c r="E272" s="13">
        <v>10989.0</v>
      </c>
    </row>
    <row r="273" ht="14.25" customHeight="1">
      <c r="A273" s="18">
        <v>43968.0</v>
      </c>
      <c r="B273" s="13" t="s">
        <v>11</v>
      </c>
      <c r="C273" s="13">
        <v>19.0</v>
      </c>
      <c r="D273" s="13">
        <v>1871.0</v>
      </c>
      <c r="E273" s="13">
        <v>1660.0</v>
      </c>
    </row>
    <row r="274" ht="14.25" customHeight="1">
      <c r="A274" s="18">
        <v>43968.0</v>
      </c>
      <c r="B274" s="13" t="s">
        <v>12</v>
      </c>
      <c r="C274" s="13">
        <v>16.0</v>
      </c>
      <c r="D274" s="13">
        <v>859.0</v>
      </c>
      <c r="E274" s="13">
        <v>746.0</v>
      </c>
    </row>
    <row r="275" ht="14.25" customHeight="1">
      <c r="A275" s="18">
        <v>43968.0</v>
      </c>
      <c r="B275" s="13" t="s">
        <v>13</v>
      </c>
      <c r="C275" s="13">
        <v>15.0</v>
      </c>
      <c r="D275" s="13">
        <v>971.0</v>
      </c>
      <c r="E275" s="13">
        <v>856.0</v>
      </c>
    </row>
    <row r="276" ht="14.25" customHeight="1">
      <c r="A276" s="18">
        <v>43968.0</v>
      </c>
      <c r="B276" s="13" t="s">
        <v>14</v>
      </c>
      <c r="C276" s="13">
        <v>15.0</v>
      </c>
      <c r="D276" s="13">
        <v>692.0</v>
      </c>
      <c r="E276" s="13">
        <v>591.0</v>
      </c>
    </row>
    <row r="277" ht="14.25" customHeight="1">
      <c r="A277" s="18">
        <v>43968.0</v>
      </c>
      <c r="B277" s="13" t="s">
        <v>16</v>
      </c>
      <c r="C277" s="13">
        <v>125.0</v>
      </c>
      <c r="D277" s="13">
        <v>20079.0</v>
      </c>
      <c r="E277" s="13">
        <v>18721.0</v>
      </c>
    </row>
    <row r="278" ht="14.25" customHeight="1">
      <c r="A278" s="18">
        <v>43968.0</v>
      </c>
      <c r="B278" s="13" t="s">
        <v>17</v>
      </c>
      <c r="C278" s="13">
        <v>129.0</v>
      </c>
      <c r="D278" s="13">
        <v>15744.0</v>
      </c>
      <c r="E278" s="13">
        <v>14685.0</v>
      </c>
    </row>
    <row r="279" ht="14.25" customHeight="1">
      <c r="A279" s="18">
        <v>43968.0</v>
      </c>
      <c r="B279" s="13" t="s">
        <v>18</v>
      </c>
      <c r="C279" s="13">
        <v>10.0</v>
      </c>
      <c r="D279" s="13">
        <v>591.0</v>
      </c>
      <c r="E279" s="13">
        <v>513.0</v>
      </c>
    </row>
    <row r="280" ht="14.25" customHeight="1">
      <c r="A280" s="18">
        <v>43969.0</v>
      </c>
      <c r="B280" s="13" t="s">
        <v>4</v>
      </c>
      <c r="C280" s="13">
        <v>36.0</v>
      </c>
      <c r="D280" s="13">
        <v>4885.0</v>
      </c>
      <c r="E280" s="13">
        <v>4502.0</v>
      </c>
    </row>
    <row r="281" ht="14.25" customHeight="1">
      <c r="A281" s="18">
        <v>43969.0</v>
      </c>
      <c r="B281" s="13" t="s">
        <v>5</v>
      </c>
      <c r="C281" s="13">
        <v>31.0</v>
      </c>
      <c r="D281" s="13">
        <v>5165.0</v>
      </c>
      <c r="E281" s="13">
        <v>4813.0</v>
      </c>
    </row>
    <row r="282" ht="14.25" customHeight="1">
      <c r="A282" s="18">
        <v>43969.0</v>
      </c>
      <c r="B282" s="13" t="s">
        <v>6</v>
      </c>
      <c r="C282" s="13">
        <v>21.0</v>
      </c>
      <c r="D282" s="13">
        <v>2136.0</v>
      </c>
      <c r="E282" s="13">
        <v>1947.0</v>
      </c>
    </row>
    <row r="283" ht="14.25" customHeight="1">
      <c r="A283" s="18">
        <v>43969.0</v>
      </c>
      <c r="B283" s="13" t="s">
        <v>7</v>
      </c>
      <c r="C283" s="13">
        <v>21.0</v>
      </c>
      <c r="D283" s="13">
        <v>1834.0</v>
      </c>
      <c r="E283" s="13">
        <v>1660.0</v>
      </c>
    </row>
    <row r="284" ht="14.25" customHeight="1">
      <c r="A284" s="18">
        <v>43969.0</v>
      </c>
      <c r="B284" s="13" t="s">
        <v>8</v>
      </c>
      <c r="C284" s="13">
        <v>19.0</v>
      </c>
      <c r="D284" s="13">
        <v>1741.0</v>
      </c>
      <c r="E284" s="13">
        <v>1597.0</v>
      </c>
    </row>
    <row r="285" ht="14.25" customHeight="1">
      <c r="A285" s="18">
        <v>43969.0</v>
      </c>
      <c r="B285" s="13" t="s">
        <v>9</v>
      </c>
      <c r="C285" s="13">
        <v>54.0</v>
      </c>
      <c r="D285" s="13">
        <v>12012.0</v>
      </c>
      <c r="E285" s="13">
        <v>11308.0</v>
      </c>
    </row>
    <row r="286" ht="14.25" customHeight="1">
      <c r="A286" s="18">
        <v>43969.0</v>
      </c>
      <c r="B286" s="13" t="s">
        <v>10</v>
      </c>
      <c r="C286" s="13">
        <v>60.0</v>
      </c>
      <c r="D286" s="13">
        <v>12460.0</v>
      </c>
      <c r="E286" s="13">
        <v>11665.0</v>
      </c>
    </row>
    <row r="287" ht="14.25" customHeight="1">
      <c r="A287" s="18">
        <v>43969.0</v>
      </c>
      <c r="B287" s="13" t="s">
        <v>11</v>
      </c>
      <c r="C287" s="13">
        <v>19.0</v>
      </c>
      <c r="D287" s="13">
        <v>1858.0</v>
      </c>
      <c r="E287" s="13">
        <v>1648.0</v>
      </c>
    </row>
    <row r="288" ht="14.25" customHeight="1">
      <c r="A288" s="18">
        <v>43969.0</v>
      </c>
      <c r="B288" s="13" t="s">
        <v>12</v>
      </c>
      <c r="C288" s="13">
        <v>16.0</v>
      </c>
      <c r="D288" s="13">
        <v>864.0</v>
      </c>
      <c r="E288" s="13">
        <v>765.0</v>
      </c>
    </row>
    <row r="289" ht="14.25" customHeight="1">
      <c r="A289" s="18">
        <v>43969.0</v>
      </c>
      <c r="B289" s="13" t="s">
        <v>13</v>
      </c>
      <c r="C289" s="13">
        <v>16.0</v>
      </c>
      <c r="D289" s="13">
        <v>925.0</v>
      </c>
      <c r="E289" s="13">
        <v>816.0</v>
      </c>
    </row>
    <row r="290" ht="14.25" customHeight="1">
      <c r="A290" s="18">
        <v>43969.0</v>
      </c>
      <c r="B290" s="13" t="s">
        <v>14</v>
      </c>
      <c r="C290" s="13">
        <v>15.0</v>
      </c>
      <c r="D290" s="13">
        <v>729.0</v>
      </c>
      <c r="E290" s="13">
        <v>636.0</v>
      </c>
    </row>
    <row r="291" ht="14.25" customHeight="1">
      <c r="A291" s="18">
        <v>43969.0</v>
      </c>
      <c r="B291" s="13" t="s">
        <v>16</v>
      </c>
      <c r="C291" s="13">
        <v>125.0</v>
      </c>
      <c r="D291" s="13">
        <v>20449.0</v>
      </c>
      <c r="E291" s="13">
        <v>19060.0</v>
      </c>
    </row>
    <row r="292" ht="14.25" customHeight="1">
      <c r="A292" s="18">
        <v>43969.0</v>
      </c>
      <c r="B292" s="13" t="s">
        <v>17</v>
      </c>
      <c r="C292" s="13">
        <v>129.0</v>
      </c>
      <c r="D292" s="13">
        <v>16110.0</v>
      </c>
      <c r="E292" s="13">
        <v>14992.0</v>
      </c>
    </row>
    <row r="293" ht="14.25" customHeight="1">
      <c r="A293" s="18">
        <v>43969.0</v>
      </c>
      <c r="B293" s="13" t="s">
        <v>18</v>
      </c>
      <c r="C293" s="13">
        <v>10.0</v>
      </c>
      <c r="D293" s="13">
        <v>645.0</v>
      </c>
      <c r="E293" s="13">
        <v>565.0</v>
      </c>
    </row>
    <row r="294" ht="14.25" customHeight="1">
      <c r="A294" s="18">
        <v>43970.0</v>
      </c>
      <c r="B294" s="13" t="s">
        <v>4</v>
      </c>
      <c r="C294" s="13">
        <v>36.0</v>
      </c>
      <c r="D294" s="13">
        <v>5094.0</v>
      </c>
      <c r="E294" s="13">
        <v>4716.0</v>
      </c>
    </row>
    <row r="295" ht="14.25" customHeight="1">
      <c r="A295" s="18">
        <v>43970.0</v>
      </c>
      <c r="B295" s="13" t="s">
        <v>5</v>
      </c>
      <c r="C295" s="13">
        <v>31.0</v>
      </c>
      <c r="D295" s="13">
        <v>5389.0</v>
      </c>
      <c r="E295" s="13">
        <v>5024.0</v>
      </c>
    </row>
    <row r="296" ht="14.25" customHeight="1">
      <c r="A296" s="18">
        <v>43970.0</v>
      </c>
      <c r="B296" s="13" t="s">
        <v>6</v>
      </c>
      <c r="C296" s="13">
        <v>21.0</v>
      </c>
      <c r="D296" s="13">
        <v>2245.0</v>
      </c>
      <c r="E296" s="13">
        <v>2053.0</v>
      </c>
    </row>
    <row r="297" ht="14.25" customHeight="1">
      <c r="A297" s="18">
        <v>43970.0</v>
      </c>
      <c r="B297" s="13" t="s">
        <v>7</v>
      </c>
      <c r="C297" s="13">
        <v>21.0</v>
      </c>
      <c r="D297" s="13">
        <v>1860.0</v>
      </c>
      <c r="E297" s="13">
        <v>1704.0</v>
      </c>
    </row>
    <row r="298" ht="14.25" customHeight="1">
      <c r="A298" s="18">
        <v>43970.0</v>
      </c>
      <c r="B298" s="13" t="s">
        <v>8</v>
      </c>
      <c r="C298" s="13">
        <v>19.0</v>
      </c>
      <c r="D298" s="13">
        <v>1831.0</v>
      </c>
      <c r="E298" s="13">
        <v>1667.0</v>
      </c>
    </row>
    <row r="299" ht="14.25" customHeight="1">
      <c r="A299" s="18">
        <v>43970.0</v>
      </c>
      <c r="B299" s="13" t="s">
        <v>9</v>
      </c>
      <c r="C299" s="13">
        <v>54.0</v>
      </c>
      <c r="D299" s="13">
        <v>13070.0</v>
      </c>
      <c r="E299" s="13">
        <v>12244.0</v>
      </c>
    </row>
    <row r="300" ht="14.25" customHeight="1">
      <c r="A300" s="18">
        <v>43970.0</v>
      </c>
      <c r="B300" s="13" t="s">
        <v>10</v>
      </c>
      <c r="C300" s="13">
        <v>60.0</v>
      </c>
      <c r="D300" s="13">
        <v>13867.0</v>
      </c>
      <c r="E300" s="13">
        <v>12987.0</v>
      </c>
    </row>
    <row r="301" ht="14.25" customHeight="1">
      <c r="A301" s="18">
        <v>43970.0</v>
      </c>
      <c r="B301" s="13" t="s">
        <v>11</v>
      </c>
      <c r="C301" s="13">
        <v>19.0</v>
      </c>
      <c r="D301" s="13">
        <v>1999.0</v>
      </c>
      <c r="E301" s="13">
        <v>1799.0</v>
      </c>
    </row>
    <row r="302" ht="14.25" customHeight="1">
      <c r="A302" s="18">
        <v>43970.0</v>
      </c>
      <c r="B302" s="13" t="s">
        <v>12</v>
      </c>
      <c r="C302" s="13">
        <v>17.0</v>
      </c>
      <c r="D302" s="13">
        <v>857.0</v>
      </c>
      <c r="E302" s="13">
        <v>757.0</v>
      </c>
    </row>
    <row r="303" ht="14.25" customHeight="1">
      <c r="A303" s="18">
        <v>43970.0</v>
      </c>
      <c r="B303" s="13" t="s">
        <v>13</v>
      </c>
      <c r="C303" s="13">
        <v>16.0</v>
      </c>
      <c r="D303" s="13">
        <v>1012.0</v>
      </c>
      <c r="E303" s="13">
        <v>900.0</v>
      </c>
    </row>
    <row r="304" ht="14.25" customHeight="1">
      <c r="A304" s="18">
        <v>43970.0</v>
      </c>
      <c r="B304" s="13" t="s">
        <v>14</v>
      </c>
      <c r="C304" s="13">
        <v>15.0</v>
      </c>
      <c r="D304" s="13">
        <v>930.0</v>
      </c>
      <c r="E304" s="13">
        <v>827.0</v>
      </c>
    </row>
    <row r="305" ht="14.25" customHeight="1">
      <c r="A305" s="18">
        <v>43970.0</v>
      </c>
      <c r="B305" s="13" t="s">
        <v>16</v>
      </c>
      <c r="C305" s="13">
        <v>125.0</v>
      </c>
      <c r="D305" s="13">
        <v>20771.0</v>
      </c>
      <c r="E305" s="13">
        <v>19338.0</v>
      </c>
    </row>
    <row r="306" ht="14.25" customHeight="1">
      <c r="A306" s="18">
        <v>43970.0</v>
      </c>
      <c r="B306" s="13" t="s">
        <v>17</v>
      </c>
      <c r="C306" s="13">
        <v>129.0</v>
      </c>
      <c r="D306" s="13">
        <v>16191.0</v>
      </c>
      <c r="E306" s="13">
        <v>15102.0</v>
      </c>
    </row>
    <row r="307" ht="14.25" customHeight="1">
      <c r="A307" s="18">
        <v>43970.0</v>
      </c>
      <c r="B307" s="13" t="s">
        <v>18</v>
      </c>
      <c r="C307" s="13">
        <v>10.0</v>
      </c>
      <c r="D307" s="13">
        <v>649.0</v>
      </c>
      <c r="E307" s="13">
        <v>568.0</v>
      </c>
    </row>
    <row r="308" ht="14.25" customHeight="1">
      <c r="A308" s="18">
        <v>43971.0</v>
      </c>
      <c r="B308" s="13" t="s">
        <v>4</v>
      </c>
      <c r="C308" s="13">
        <v>36.0</v>
      </c>
      <c r="D308" s="13">
        <v>5914.0</v>
      </c>
      <c r="E308" s="13">
        <v>5384.0</v>
      </c>
    </row>
    <row r="309" ht="14.25" customHeight="1">
      <c r="A309" s="18">
        <v>43971.0</v>
      </c>
      <c r="B309" s="13" t="s">
        <v>5</v>
      </c>
      <c r="C309" s="13">
        <v>31.0</v>
      </c>
      <c r="D309" s="13">
        <v>5698.0</v>
      </c>
      <c r="E309" s="13">
        <v>5258.0</v>
      </c>
    </row>
    <row r="310" ht="14.25" customHeight="1">
      <c r="A310" s="18">
        <v>43971.0</v>
      </c>
      <c r="B310" s="13" t="s">
        <v>6</v>
      </c>
      <c r="C310" s="13">
        <v>21.0</v>
      </c>
      <c r="D310" s="13">
        <v>2410.0</v>
      </c>
      <c r="E310" s="13">
        <v>2202.0</v>
      </c>
    </row>
    <row r="311" ht="14.25" customHeight="1">
      <c r="A311" s="18">
        <v>43971.0</v>
      </c>
      <c r="B311" s="13" t="s">
        <v>7</v>
      </c>
      <c r="C311" s="13">
        <v>21.0</v>
      </c>
      <c r="D311" s="13">
        <v>1921.0</v>
      </c>
      <c r="E311" s="13">
        <v>1767.0</v>
      </c>
    </row>
    <row r="312" ht="14.25" customHeight="1">
      <c r="A312" s="18">
        <v>43971.0</v>
      </c>
      <c r="B312" s="13" t="s">
        <v>8</v>
      </c>
      <c r="C312" s="13">
        <v>19.0</v>
      </c>
      <c r="D312" s="13">
        <v>1823.0</v>
      </c>
      <c r="E312" s="13">
        <v>1678.0</v>
      </c>
    </row>
    <row r="313" ht="14.25" customHeight="1">
      <c r="A313" s="18">
        <v>43971.0</v>
      </c>
      <c r="B313" s="13" t="s">
        <v>9</v>
      </c>
      <c r="C313" s="13">
        <v>54.0</v>
      </c>
      <c r="D313" s="13">
        <v>13298.0</v>
      </c>
      <c r="E313" s="13">
        <v>12428.0</v>
      </c>
    </row>
    <row r="314" ht="14.25" customHeight="1">
      <c r="A314" s="18">
        <v>43971.0</v>
      </c>
      <c r="B314" s="13" t="s">
        <v>10</v>
      </c>
      <c r="C314" s="13">
        <v>60.0</v>
      </c>
      <c r="D314" s="13">
        <v>13792.0</v>
      </c>
      <c r="E314" s="13">
        <v>12834.0</v>
      </c>
    </row>
    <row r="315" ht="14.25" customHeight="1">
      <c r="A315" s="18">
        <v>43971.0</v>
      </c>
      <c r="B315" s="13" t="s">
        <v>11</v>
      </c>
      <c r="C315" s="13">
        <v>19.0</v>
      </c>
      <c r="D315" s="13">
        <v>1889.0</v>
      </c>
      <c r="E315" s="13">
        <v>1690.0</v>
      </c>
    </row>
    <row r="316" ht="14.25" customHeight="1">
      <c r="A316" s="18">
        <v>43971.0</v>
      </c>
      <c r="B316" s="13" t="s">
        <v>12</v>
      </c>
      <c r="C316" s="13">
        <v>17.0</v>
      </c>
      <c r="D316" s="13">
        <v>890.0</v>
      </c>
      <c r="E316" s="13">
        <v>794.0</v>
      </c>
    </row>
    <row r="317" ht="14.25" customHeight="1">
      <c r="A317" s="18">
        <v>43971.0</v>
      </c>
      <c r="B317" s="13" t="s">
        <v>13</v>
      </c>
      <c r="C317" s="13">
        <v>16.0</v>
      </c>
      <c r="D317" s="13">
        <v>1050.0</v>
      </c>
      <c r="E317" s="13">
        <v>938.0</v>
      </c>
    </row>
    <row r="318" ht="14.25" customHeight="1">
      <c r="A318" s="18">
        <v>43971.0</v>
      </c>
      <c r="B318" s="13" t="s">
        <v>14</v>
      </c>
      <c r="C318" s="13">
        <v>15.0</v>
      </c>
      <c r="D318" s="13">
        <v>760.0</v>
      </c>
      <c r="E318" s="13">
        <v>664.0</v>
      </c>
    </row>
    <row r="319" ht="14.25" customHeight="1">
      <c r="A319" s="18">
        <v>43971.0</v>
      </c>
      <c r="B319" s="13" t="s">
        <v>16</v>
      </c>
      <c r="C319" s="13">
        <v>125.0</v>
      </c>
      <c r="D319" s="13">
        <v>21674.0</v>
      </c>
      <c r="E319" s="13">
        <v>20155.0</v>
      </c>
    </row>
    <row r="320" ht="14.25" customHeight="1">
      <c r="A320" s="18">
        <v>43971.0</v>
      </c>
      <c r="B320" s="13" t="s">
        <v>17</v>
      </c>
      <c r="C320" s="13">
        <v>129.0</v>
      </c>
      <c r="D320" s="13">
        <v>17095.0</v>
      </c>
      <c r="E320" s="13">
        <v>15919.0</v>
      </c>
    </row>
    <row r="321" ht="14.25" customHeight="1">
      <c r="A321" s="18">
        <v>43971.0</v>
      </c>
      <c r="B321" s="13" t="s">
        <v>18</v>
      </c>
      <c r="C321" s="13">
        <v>10.0</v>
      </c>
      <c r="D321" s="13">
        <v>745.0</v>
      </c>
      <c r="E321" s="13">
        <v>654.0</v>
      </c>
    </row>
    <row r="322" ht="14.25" customHeight="1">
      <c r="A322" s="18">
        <v>43972.0</v>
      </c>
      <c r="B322" s="13" t="s">
        <v>4</v>
      </c>
      <c r="C322" s="13">
        <v>36.0</v>
      </c>
      <c r="D322" s="13">
        <v>4816.0</v>
      </c>
      <c r="E322" s="13">
        <v>4452.0</v>
      </c>
    </row>
    <row r="323" ht="14.25" customHeight="1">
      <c r="A323" s="18">
        <v>43972.0</v>
      </c>
      <c r="B323" s="13" t="s">
        <v>5</v>
      </c>
      <c r="C323" s="13">
        <v>31.0</v>
      </c>
      <c r="D323" s="13">
        <v>5207.0</v>
      </c>
      <c r="E323" s="13">
        <v>4868.0</v>
      </c>
    </row>
    <row r="324" ht="14.25" customHeight="1">
      <c r="A324" s="18">
        <v>43972.0</v>
      </c>
      <c r="B324" s="13" t="s">
        <v>6</v>
      </c>
      <c r="C324" s="13">
        <v>21.0</v>
      </c>
      <c r="D324" s="13">
        <v>2335.0</v>
      </c>
      <c r="E324" s="13">
        <v>2126.0</v>
      </c>
    </row>
    <row r="325" ht="14.25" customHeight="1">
      <c r="A325" s="18">
        <v>43972.0</v>
      </c>
      <c r="B325" s="13" t="s">
        <v>7</v>
      </c>
      <c r="C325" s="13">
        <v>21.0</v>
      </c>
      <c r="D325" s="13">
        <v>1787.0</v>
      </c>
      <c r="E325" s="13">
        <v>1626.0</v>
      </c>
    </row>
    <row r="326" ht="14.25" customHeight="1">
      <c r="A326" s="18">
        <v>43972.0</v>
      </c>
      <c r="B326" s="13" t="s">
        <v>8</v>
      </c>
      <c r="C326" s="13">
        <v>19.0</v>
      </c>
      <c r="D326" s="13">
        <v>1650.0</v>
      </c>
      <c r="E326" s="13">
        <v>1505.0</v>
      </c>
    </row>
    <row r="327" ht="14.25" customHeight="1">
      <c r="A327" s="18">
        <v>43972.0</v>
      </c>
      <c r="B327" s="13" t="s">
        <v>9</v>
      </c>
      <c r="C327" s="13">
        <v>54.0</v>
      </c>
      <c r="D327" s="13">
        <v>13240.0</v>
      </c>
      <c r="E327" s="13">
        <v>12360.0</v>
      </c>
    </row>
    <row r="328" ht="14.25" customHeight="1">
      <c r="A328" s="18">
        <v>43972.0</v>
      </c>
      <c r="B328" s="13" t="s">
        <v>10</v>
      </c>
      <c r="C328" s="13">
        <v>60.0</v>
      </c>
      <c r="D328" s="13">
        <v>14005.0</v>
      </c>
      <c r="E328" s="13">
        <v>13002.0</v>
      </c>
    </row>
    <row r="329" ht="14.25" customHeight="1">
      <c r="A329" s="18">
        <v>43972.0</v>
      </c>
      <c r="B329" s="13" t="s">
        <v>11</v>
      </c>
      <c r="C329" s="13">
        <v>19.0</v>
      </c>
      <c r="D329" s="13">
        <v>1949.0</v>
      </c>
      <c r="E329" s="13">
        <v>1724.0</v>
      </c>
    </row>
    <row r="330" ht="14.25" customHeight="1">
      <c r="A330" s="18">
        <v>43972.0</v>
      </c>
      <c r="B330" s="13" t="s">
        <v>12</v>
      </c>
      <c r="C330" s="13">
        <v>18.0</v>
      </c>
      <c r="D330" s="13">
        <v>888.0</v>
      </c>
      <c r="E330" s="13">
        <v>786.0</v>
      </c>
    </row>
    <row r="331" ht="14.25" customHeight="1">
      <c r="A331" s="18">
        <v>43972.0</v>
      </c>
      <c r="B331" s="13" t="s">
        <v>13</v>
      </c>
      <c r="C331" s="13">
        <v>17.0</v>
      </c>
      <c r="D331" s="13">
        <v>1045.0</v>
      </c>
      <c r="E331" s="13">
        <v>930.0</v>
      </c>
    </row>
    <row r="332" ht="14.25" customHeight="1">
      <c r="A332" s="18">
        <v>43972.0</v>
      </c>
      <c r="B332" s="13" t="s">
        <v>14</v>
      </c>
      <c r="C332" s="13">
        <v>15.0</v>
      </c>
      <c r="D332" s="13">
        <v>749.0</v>
      </c>
      <c r="E332" s="13">
        <v>652.0</v>
      </c>
    </row>
    <row r="333" ht="14.25" customHeight="1">
      <c r="A333" s="18">
        <v>43972.0</v>
      </c>
      <c r="B333" s="13" t="s">
        <v>16</v>
      </c>
      <c r="C333" s="13">
        <v>125.0</v>
      </c>
      <c r="D333" s="13">
        <v>20911.0</v>
      </c>
      <c r="E333" s="13">
        <v>19358.0</v>
      </c>
    </row>
    <row r="334" ht="14.25" customHeight="1">
      <c r="A334" s="18">
        <v>43972.0</v>
      </c>
      <c r="B334" s="13" t="s">
        <v>17</v>
      </c>
      <c r="C334" s="13">
        <v>129.0</v>
      </c>
      <c r="D334" s="13">
        <v>16373.0</v>
      </c>
      <c r="E334" s="13">
        <v>15223.0</v>
      </c>
    </row>
    <row r="335" ht="14.25" customHeight="1">
      <c r="A335" s="18">
        <v>43972.0</v>
      </c>
      <c r="B335" s="13" t="s">
        <v>18</v>
      </c>
      <c r="C335" s="13">
        <v>10.0</v>
      </c>
      <c r="D335" s="13">
        <v>677.0</v>
      </c>
      <c r="E335" s="13">
        <v>591.0</v>
      </c>
    </row>
    <row r="336" ht="14.25" customHeight="1">
      <c r="A336" s="18">
        <v>43973.0</v>
      </c>
      <c r="B336" s="13" t="s">
        <v>4</v>
      </c>
      <c r="C336" s="13">
        <v>36.0</v>
      </c>
      <c r="D336" s="13">
        <v>4857.0</v>
      </c>
      <c r="E336" s="13">
        <v>4456.0</v>
      </c>
    </row>
    <row r="337" ht="14.25" customHeight="1">
      <c r="A337" s="18">
        <v>43973.0</v>
      </c>
      <c r="B337" s="13" t="s">
        <v>5</v>
      </c>
      <c r="C337" s="13">
        <v>31.0</v>
      </c>
      <c r="D337" s="13">
        <v>5965.0</v>
      </c>
      <c r="E337" s="13">
        <v>5533.0</v>
      </c>
    </row>
    <row r="338" ht="14.25" customHeight="1">
      <c r="A338" s="18">
        <v>43973.0</v>
      </c>
      <c r="B338" s="13" t="s">
        <v>6</v>
      </c>
      <c r="C338" s="13">
        <v>21.0</v>
      </c>
      <c r="D338" s="13">
        <v>2861.0</v>
      </c>
      <c r="E338" s="13">
        <v>2612.0</v>
      </c>
    </row>
    <row r="339" ht="14.25" customHeight="1">
      <c r="A339" s="18">
        <v>43973.0</v>
      </c>
      <c r="B339" s="13" t="s">
        <v>7</v>
      </c>
      <c r="C339" s="13">
        <v>21.0</v>
      </c>
      <c r="D339" s="13">
        <v>2046.0</v>
      </c>
      <c r="E339" s="13">
        <v>1853.0</v>
      </c>
    </row>
    <row r="340" ht="14.25" customHeight="1">
      <c r="A340" s="18">
        <v>43973.0</v>
      </c>
      <c r="B340" s="13" t="s">
        <v>8</v>
      </c>
      <c r="C340" s="13">
        <v>19.0</v>
      </c>
      <c r="D340" s="13">
        <v>1859.0</v>
      </c>
      <c r="E340" s="13">
        <v>1697.0</v>
      </c>
    </row>
    <row r="341" ht="14.25" customHeight="1">
      <c r="A341" s="18">
        <v>43973.0</v>
      </c>
      <c r="B341" s="13" t="s">
        <v>9</v>
      </c>
      <c r="C341" s="13">
        <v>54.0</v>
      </c>
      <c r="D341" s="13">
        <v>13014.0</v>
      </c>
      <c r="E341" s="13">
        <v>12095.0</v>
      </c>
    </row>
    <row r="342" ht="14.25" customHeight="1">
      <c r="A342" s="18">
        <v>43973.0</v>
      </c>
      <c r="B342" s="13" t="s">
        <v>10</v>
      </c>
      <c r="C342" s="13">
        <v>60.0</v>
      </c>
      <c r="D342" s="13">
        <v>14050.0</v>
      </c>
      <c r="E342" s="13">
        <v>13027.0</v>
      </c>
    </row>
    <row r="343" ht="14.25" customHeight="1">
      <c r="A343" s="18">
        <v>43973.0</v>
      </c>
      <c r="B343" s="13" t="s">
        <v>11</v>
      </c>
      <c r="C343" s="13">
        <v>20.0</v>
      </c>
      <c r="D343" s="13">
        <v>2306.0</v>
      </c>
      <c r="E343" s="13">
        <v>2054.0</v>
      </c>
    </row>
    <row r="344" ht="14.25" customHeight="1">
      <c r="A344" s="18">
        <v>43973.0</v>
      </c>
      <c r="B344" s="13" t="s">
        <v>12</v>
      </c>
      <c r="C344" s="13">
        <v>18.0</v>
      </c>
      <c r="D344" s="13">
        <v>985.0</v>
      </c>
      <c r="E344" s="13">
        <v>861.0</v>
      </c>
    </row>
    <row r="345" ht="14.25" customHeight="1">
      <c r="A345" s="18">
        <v>43973.0</v>
      </c>
      <c r="B345" s="13" t="s">
        <v>13</v>
      </c>
      <c r="C345" s="13">
        <v>17.0</v>
      </c>
      <c r="D345" s="13">
        <v>1268.0</v>
      </c>
      <c r="E345" s="13">
        <v>1129.0</v>
      </c>
    </row>
    <row r="346" ht="14.25" customHeight="1">
      <c r="A346" s="18">
        <v>43973.0</v>
      </c>
      <c r="B346" s="13" t="s">
        <v>14</v>
      </c>
      <c r="C346" s="13">
        <v>15.0</v>
      </c>
      <c r="D346" s="13">
        <v>903.0</v>
      </c>
      <c r="E346" s="13">
        <v>792.0</v>
      </c>
    </row>
    <row r="347" ht="14.25" customHeight="1">
      <c r="A347" s="18">
        <v>43973.0</v>
      </c>
      <c r="B347" s="13" t="s">
        <v>16</v>
      </c>
      <c r="C347" s="13">
        <v>125.0</v>
      </c>
      <c r="D347" s="13">
        <v>21427.0</v>
      </c>
      <c r="E347" s="13">
        <v>19799.0</v>
      </c>
    </row>
    <row r="348" ht="14.25" customHeight="1">
      <c r="A348" s="18">
        <v>43973.0</v>
      </c>
      <c r="B348" s="13" t="s">
        <v>17</v>
      </c>
      <c r="C348" s="13">
        <v>129.0</v>
      </c>
      <c r="D348" s="13">
        <v>17088.0</v>
      </c>
      <c r="E348" s="13">
        <v>15804.0</v>
      </c>
    </row>
    <row r="349" ht="14.25" customHeight="1">
      <c r="A349" s="18">
        <v>43973.0</v>
      </c>
      <c r="B349" s="13" t="s">
        <v>18</v>
      </c>
      <c r="C349" s="13">
        <v>10.0</v>
      </c>
      <c r="D349" s="13">
        <v>965.0</v>
      </c>
      <c r="E349" s="13">
        <v>861.0</v>
      </c>
    </row>
    <row r="350" ht="14.25" customHeight="1">
      <c r="A350" s="18">
        <v>43974.0</v>
      </c>
      <c r="B350" s="13" t="s">
        <v>4</v>
      </c>
      <c r="C350" s="13">
        <v>36.0</v>
      </c>
      <c r="D350" s="13">
        <v>5651.0</v>
      </c>
      <c r="E350" s="13">
        <v>5212.0</v>
      </c>
    </row>
    <row r="351" ht="14.25" customHeight="1">
      <c r="A351" s="18">
        <v>43974.0</v>
      </c>
      <c r="B351" s="13" t="s">
        <v>5</v>
      </c>
      <c r="C351" s="13">
        <v>31.0</v>
      </c>
      <c r="D351" s="13">
        <v>6276.0</v>
      </c>
      <c r="E351" s="13">
        <v>5801.0</v>
      </c>
    </row>
    <row r="352" ht="14.25" customHeight="1">
      <c r="A352" s="18">
        <v>43974.0</v>
      </c>
      <c r="B352" s="13" t="s">
        <v>6</v>
      </c>
      <c r="C352" s="13">
        <v>21.0</v>
      </c>
      <c r="D352" s="13">
        <v>2460.0</v>
      </c>
      <c r="E352" s="13">
        <v>2226.0</v>
      </c>
    </row>
    <row r="353" ht="14.25" customHeight="1">
      <c r="A353" s="18">
        <v>43974.0</v>
      </c>
      <c r="B353" s="13" t="s">
        <v>7</v>
      </c>
      <c r="C353" s="13">
        <v>21.0</v>
      </c>
      <c r="D353" s="13">
        <v>2340.0</v>
      </c>
      <c r="E353" s="13">
        <v>2146.0</v>
      </c>
    </row>
    <row r="354" ht="14.25" customHeight="1">
      <c r="A354" s="18">
        <v>43974.0</v>
      </c>
      <c r="B354" s="13" t="s">
        <v>8</v>
      </c>
      <c r="C354" s="13">
        <v>19.0</v>
      </c>
      <c r="D354" s="13">
        <v>2195.0</v>
      </c>
      <c r="E354" s="13">
        <v>1999.0</v>
      </c>
    </row>
    <row r="355" ht="14.25" customHeight="1">
      <c r="A355" s="18">
        <v>43974.0</v>
      </c>
      <c r="B355" s="13" t="s">
        <v>9</v>
      </c>
      <c r="C355" s="13">
        <v>54.0</v>
      </c>
      <c r="D355" s="13">
        <v>16221.0</v>
      </c>
      <c r="E355" s="13">
        <v>15065.0</v>
      </c>
    </row>
    <row r="356" ht="14.25" customHeight="1">
      <c r="A356" s="18">
        <v>43974.0</v>
      </c>
      <c r="B356" s="13" t="s">
        <v>10</v>
      </c>
      <c r="C356" s="13">
        <v>60.0</v>
      </c>
      <c r="D356" s="13">
        <v>17295.0</v>
      </c>
      <c r="E356" s="13">
        <v>16010.0</v>
      </c>
    </row>
    <row r="357" ht="14.25" customHeight="1">
      <c r="A357" s="18">
        <v>43974.0</v>
      </c>
      <c r="B357" s="13" t="s">
        <v>11</v>
      </c>
      <c r="C357" s="13">
        <v>20.0</v>
      </c>
      <c r="D357" s="13">
        <v>2266.0</v>
      </c>
      <c r="E357" s="13">
        <v>1993.0</v>
      </c>
    </row>
    <row r="358" ht="14.25" customHeight="1">
      <c r="A358" s="18">
        <v>43974.0</v>
      </c>
      <c r="B358" s="13" t="s">
        <v>12</v>
      </c>
      <c r="C358" s="13">
        <v>18.0</v>
      </c>
      <c r="D358" s="13">
        <v>1031.0</v>
      </c>
      <c r="E358" s="13">
        <v>918.0</v>
      </c>
    </row>
    <row r="359" ht="14.25" customHeight="1">
      <c r="A359" s="18">
        <v>43974.0</v>
      </c>
      <c r="B359" s="13" t="s">
        <v>13</v>
      </c>
      <c r="C359" s="13">
        <v>17.0</v>
      </c>
      <c r="D359" s="13">
        <v>1294.0</v>
      </c>
      <c r="E359" s="13">
        <v>1155.0</v>
      </c>
    </row>
    <row r="360" ht="14.25" customHeight="1">
      <c r="A360" s="18">
        <v>43974.0</v>
      </c>
      <c r="B360" s="13" t="s">
        <v>14</v>
      </c>
      <c r="C360" s="13">
        <v>15.0</v>
      </c>
      <c r="D360" s="13">
        <v>840.0</v>
      </c>
      <c r="E360" s="13">
        <v>725.0</v>
      </c>
    </row>
    <row r="361" ht="14.25" customHeight="1">
      <c r="A361" s="18">
        <v>43974.0</v>
      </c>
      <c r="B361" s="13" t="s">
        <v>16</v>
      </c>
      <c r="C361" s="13">
        <v>125.0</v>
      </c>
      <c r="D361" s="13">
        <v>24574.0</v>
      </c>
      <c r="E361" s="13">
        <v>22609.0</v>
      </c>
    </row>
    <row r="362" ht="14.25" customHeight="1">
      <c r="A362" s="18">
        <v>43974.0</v>
      </c>
      <c r="B362" s="13" t="s">
        <v>17</v>
      </c>
      <c r="C362" s="13">
        <v>129.0</v>
      </c>
      <c r="D362" s="13">
        <v>19856.0</v>
      </c>
      <c r="E362" s="13">
        <v>18325.0</v>
      </c>
    </row>
    <row r="363" ht="14.25" customHeight="1">
      <c r="A363" s="18">
        <v>43974.0</v>
      </c>
      <c r="B363" s="13" t="s">
        <v>18</v>
      </c>
      <c r="C363" s="13">
        <v>10.0</v>
      </c>
      <c r="D363" s="13">
        <v>828.0</v>
      </c>
      <c r="E363" s="13">
        <v>734.0</v>
      </c>
    </row>
    <row r="364" ht="14.25" customHeight="1">
      <c r="A364" s="18">
        <v>43975.0</v>
      </c>
      <c r="B364" s="13" t="s">
        <v>4</v>
      </c>
      <c r="C364" s="13">
        <v>36.0</v>
      </c>
      <c r="D364" s="13">
        <v>4915.0</v>
      </c>
      <c r="E364" s="13">
        <v>4562.0</v>
      </c>
    </row>
    <row r="365" ht="14.25" customHeight="1">
      <c r="A365" s="18">
        <v>43975.0</v>
      </c>
      <c r="B365" s="13" t="s">
        <v>5</v>
      </c>
      <c r="C365" s="13">
        <v>31.0</v>
      </c>
      <c r="D365" s="13">
        <v>5035.0</v>
      </c>
      <c r="E365" s="13">
        <v>4683.0</v>
      </c>
    </row>
    <row r="366" ht="14.25" customHeight="1">
      <c r="A366" s="18">
        <v>43975.0</v>
      </c>
      <c r="B366" s="13" t="s">
        <v>6</v>
      </c>
      <c r="C366" s="13">
        <v>21.0</v>
      </c>
      <c r="D366" s="13">
        <v>2254.0</v>
      </c>
      <c r="E366" s="13">
        <v>2061.0</v>
      </c>
    </row>
    <row r="367" ht="14.25" customHeight="1">
      <c r="A367" s="18">
        <v>43975.0</v>
      </c>
      <c r="B367" s="13" t="s">
        <v>7</v>
      </c>
      <c r="C367" s="13">
        <v>20.0</v>
      </c>
      <c r="D367" s="13">
        <v>1999.0</v>
      </c>
      <c r="E367" s="13">
        <v>1829.0</v>
      </c>
    </row>
    <row r="368" ht="14.25" customHeight="1">
      <c r="A368" s="18">
        <v>43975.0</v>
      </c>
      <c r="B368" s="13" t="s">
        <v>8</v>
      </c>
      <c r="C368" s="13">
        <v>19.0</v>
      </c>
      <c r="D368" s="13">
        <v>1868.0</v>
      </c>
      <c r="E368" s="13">
        <v>1706.0</v>
      </c>
    </row>
    <row r="369" ht="14.25" customHeight="1">
      <c r="A369" s="18">
        <v>43975.0</v>
      </c>
      <c r="B369" s="13" t="s">
        <v>9</v>
      </c>
      <c r="C369" s="13">
        <v>54.0</v>
      </c>
      <c r="D369" s="13">
        <v>12211.0</v>
      </c>
      <c r="E369" s="13">
        <v>11427.0</v>
      </c>
    </row>
    <row r="370" ht="14.25" customHeight="1">
      <c r="A370" s="18">
        <v>43975.0</v>
      </c>
      <c r="B370" s="13" t="s">
        <v>10</v>
      </c>
      <c r="C370" s="13">
        <v>60.0</v>
      </c>
      <c r="D370" s="13">
        <v>12822.0</v>
      </c>
      <c r="E370" s="13">
        <v>11916.0</v>
      </c>
    </row>
    <row r="371" ht="14.25" customHeight="1">
      <c r="A371" s="18">
        <v>43975.0</v>
      </c>
      <c r="B371" s="13" t="s">
        <v>11</v>
      </c>
      <c r="C371" s="13">
        <v>20.0</v>
      </c>
      <c r="D371" s="13">
        <v>2015.0</v>
      </c>
      <c r="E371" s="13">
        <v>1803.0</v>
      </c>
    </row>
    <row r="372" ht="14.25" customHeight="1">
      <c r="A372" s="18">
        <v>43975.0</v>
      </c>
      <c r="B372" s="13" t="s">
        <v>12</v>
      </c>
      <c r="C372" s="13">
        <v>18.0</v>
      </c>
      <c r="D372" s="13">
        <v>1006.0</v>
      </c>
      <c r="E372" s="13">
        <v>904.0</v>
      </c>
    </row>
    <row r="373" ht="14.25" customHeight="1">
      <c r="A373" s="18">
        <v>43975.0</v>
      </c>
      <c r="B373" s="13" t="s">
        <v>13</v>
      </c>
      <c r="C373" s="13">
        <v>17.0</v>
      </c>
      <c r="D373" s="13">
        <v>1128.0</v>
      </c>
      <c r="E373" s="13">
        <v>1001.0</v>
      </c>
    </row>
    <row r="374" ht="14.25" customHeight="1">
      <c r="A374" s="18">
        <v>43975.0</v>
      </c>
      <c r="B374" s="13" t="s">
        <v>14</v>
      </c>
      <c r="C374" s="13">
        <v>15.0</v>
      </c>
      <c r="D374" s="13">
        <v>779.0</v>
      </c>
      <c r="E374" s="13">
        <v>673.0</v>
      </c>
    </row>
    <row r="375" ht="14.25" customHeight="1">
      <c r="A375" s="18">
        <v>43975.0</v>
      </c>
      <c r="B375" s="13" t="s">
        <v>16</v>
      </c>
      <c r="C375" s="13">
        <v>125.0</v>
      </c>
      <c r="D375" s="13">
        <v>21004.0</v>
      </c>
      <c r="E375" s="13">
        <v>19556.0</v>
      </c>
    </row>
    <row r="376" ht="14.25" customHeight="1">
      <c r="A376" s="18">
        <v>43975.0</v>
      </c>
      <c r="B376" s="13" t="s">
        <v>17</v>
      </c>
      <c r="C376" s="13">
        <v>129.0</v>
      </c>
      <c r="D376" s="13">
        <v>16432.0</v>
      </c>
      <c r="E376" s="13">
        <v>15345.0</v>
      </c>
    </row>
    <row r="377" ht="14.25" customHeight="1">
      <c r="A377" s="18">
        <v>43975.0</v>
      </c>
      <c r="B377" s="13" t="s">
        <v>18</v>
      </c>
      <c r="C377" s="13">
        <v>10.0</v>
      </c>
      <c r="D377" s="13">
        <v>639.0</v>
      </c>
      <c r="E377" s="13">
        <v>557.0</v>
      </c>
    </row>
    <row r="378" ht="14.25" customHeight="1">
      <c r="A378" s="18">
        <v>43976.0</v>
      </c>
      <c r="B378" s="13" t="s">
        <v>4</v>
      </c>
      <c r="C378" s="13">
        <v>36.0</v>
      </c>
      <c r="D378" s="13">
        <v>4641.0</v>
      </c>
      <c r="E378" s="13">
        <v>4274.0</v>
      </c>
    </row>
    <row r="379" ht="14.25" customHeight="1">
      <c r="A379" s="18">
        <v>43976.0</v>
      </c>
      <c r="B379" s="13" t="s">
        <v>5</v>
      </c>
      <c r="C379" s="13">
        <v>31.0</v>
      </c>
      <c r="D379" s="13">
        <v>5210.0</v>
      </c>
      <c r="E379" s="13">
        <v>4841.0</v>
      </c>
    </row>
    <row r="380" ht="14.25" customHeight="1">
      <c r="A380" s="18">
        <v>43976.0</v>
      </c>
      <c r="B380" s="13" t="s">
        <v>6</v>
      </c>
      <c r="C380" s="13">
        <v>21.0</v>
      </c>
      <c r="D380" s="13">
        <v>2330.0</v>
      </c>
      <c r="E380" s="13">
        <v>2142.0</v>
      </c>
    </row>
    <row r="381" ht="14.25" customHeight="1">
      <c r="A381" s="18">
        <v>43976.0</v>
      </c>
      <c r="B381" s="13" t="s">
        <v>7</v>
      </c>
      <c r="C381" s="13">
        <v>20.0</v>
      </c>
      <c r="D381" s="13">
        <v>2087.0</v>
      </c>
      <c r="E381" s="13">
        <v>1914.0</v>
      </c>
    </row>
    <row r="382" ht="14.25" customHeight="1">
      <c r="A382" s="18">
        <v>43976.0</v>
      </c>
      <c r="B382" s="13" t="s">
        <v>8</v>
      </c>
      <c r="C382" s="13">
        <v>20.0</v>
      </c>
      <c r="D382" s="13">
        <v>1899.0</v>
      </c>
      <c r="E382" s="13">
        <v>1738.0</v>
      </c>
    </row>
    <row r="383" ht="14.25" customHeight="1">
      <c r="A383" s="18">
        <v>43976.0</v>
      </c>
      <c r="B383" s="13" t="s">
        <v>9</v>
      </c>
      <c r="C383" s="13">
        <v>54.0</v>
      </c>
      <c r="D383" s="13">
        <v>12336.0</v>
      </c>
      <c r="E383" s="13">
        <v>11519.0</v>
      </c>
    </row>
    <row r="384" ht="14.25" customHeight="1">
      <c r="A384" s="18">
        <v>43976.0</v>
      </c>
      <c r="B384" s="13" t="s">
        <v>10</v>
      </c>
      <c r="C384" s="13">
        <v>59.0</v>
      </c>
      <c r="D384" s="13">
        <v>12983.0</v>
      </c>
      <c r="E384" s="13">
        <v>12056.0</v>
      </c>
    </row>
    <row r="385" ht="14.25" customHeight="1">
      <c r="A385" s="18">
        <v>43976.0</v>
      </c>
      <c r="B385" s="13" t="s">
        <v>11</v>
      </c>
      <c r="C385" s="13">
        <v>20.0</v>
      </c>
      <c r="D385" s="13">
        <v>2011.0</v>
      </c>
      <c r="E385" s="13">
        <v>1791.0</v>
      </c>
    </row>
    <row r="386" ht="14.25" customHeight="1">
      <c r="A386" s="18">
        <v>43976.0</v>
      </c>
      <c r="B386" s="13" t="s">
        <v>12</v>
      </c>
      <c r="C386" s="13">
        <v>18.0</v>
      </c>
      <c r="D386" s="13">
        <v>989.0</v>
      </c>
      <c r="E386" s="13">
        <v>887.0</v>
      </c>
    </row>
    <row r="387" ht="14.25" customHeight="1">
      <c r="A387" s="18">
        <v>43976.0</v>
      </c>
      <c r="B387" s="13" t="s">
        <v>13</v>
      </c>
      <c r="C387" s="13">
        <v>17.0</v>
      </c>
      <c r="D387" s="13">
        <v>1142.0</v>
      </c>
      <c r="E387" s="13">
        <v>1020.0</v>
      </c>
    </row>
    <row r="388" ht="14.25" customHeight="1">
      <c r="A388" s="18">
        <v>43976.0</v>
      </c>
      <c r="B388" s="13" t="s">
        <v>14</v>
      </c>
      <c r="C388" s="13">
        <v>15.0</v>
      </c>
      <c r="D388" s="13">
        <v>835.0</v>
      </c>
      <c r="E388" s="13">
        <v>736.0</v>
      </c>
    </row>
    <row r="389" ht="14.25" customHeight="1">
      <c r="A389" s="18">
        <v>43976.0</v>
      </c>
      <c r="B389" s="13" t="s">
        <v>16</v>
      </c>
      <c r="C389" s="13">
        <v>124.0</v>
      </c>
      <c r="D389" s="13">
        <v>20358.0</v>
      </c>
      <c r="E389" s="13">
        <v>18890.0</v>
      </c>
    </row>
    <row r="390" ht="14.25" customHeight="1">
      <c r="A390" s="18">
        <v>43976.0</v>
      </c>
      <c r="B390" s="13" t="s">
        <v>17</v>
      </c>
      <c r="C390" s="13">
        <v>129.0</v>
      </c>
      <c r="D390" s="13">
        <v>15822.0</v>
      </c>
      <c r="E390" s="13">
        <v>14753.0</v>
      </c>
    </row>
    <row r="391" ht="14.25" customHeight="1">
      <c r="A391" s="18">
        <v>43976.0</v>
      </c>
      <c r="B391" s="13" t="s">
        <v>18</v>
      </c>
      <c r="C391" s="13">
        <v>10.0</v>
      </c>
      <c r="D391" s="13">
        <v>739.0</v>
      </c>
      <c r="E391" s="13">
        <v>642.0</v>
      </c>
    </row>
    <row r="392" ht="14.25" customHeight="1">
      <c r="A392" s="18">
        <v>43977.0</v>
      </c>
      <c r="B392" s="13" t="s">
        <v>4</v>
      </c>
      <c r="C392" s="13">
        <v>36.0</v>
      </c>
      <c r="D392" s="13">
        <v>4770.0</v>
      </c>
      <c r="E392" s="13">
        <v>4424.0</v>
      </c>
    </row>
    <row r="393" ht="14.25" customHeight="1">
      <c r="A393" s="18">
        <v>43977.0</v>
      </c>
      <c r="B393" s="13" t="s">
        <v>5</v>
      </c>
      <c r="C393" s="13">
        <v>31.0</v>
      </c>
      <c r="D393" s="13">
        <v>5493.0</v>
      </c>
      <c r="E393" s="13">
        <v>5119.0</v>
      </c>
    </row>
    <row r="394" ht="14.25" customHeight="1">
      <c r="A394" s="18">
        <v>43977.0</v>
      </c>
      <c r="B394" s="13" t="s">
        <v>6</v>
      </c>
      <c r="C394" s="13">
        <v>21.0</v>
      </c>
      <c r="D394" s="13">
        <v>2418.0</v>
      </c>
      <c r="E394" s="13">
        <v>2215.0</v>
      </c>
    </row>
    <row r="395" ht="14.25" customHeight="1">
      <c r="A395" s="18">
        <v>43977.0</v>
      </c>
      <c r="B395" s="13" t="s">
        <v>7</v>
      </c>
      <c r="C395" s="13">
        <v>20.0</v>
      </c>
      <c r="D395" s="13">
        <v>2044.0</v>
      </c>
      <c r="E395" s="13">
        <v>1863.0</v>
      </c>
    </row>
    <row r="396" ht="14.25" customHeight="1">
      <c r="A396" s="18">
        <v>43977.0</v>
      </c>
      <c r="B396" s="13" t="s">
        <v>8</v>
      </c>
      <c r="C396" s="13">
        <v>20.0</v>
      </c>
      <c r="D396" s="13">
        <v>1814.0</v>
      </c>
      <c r="E396" s="13">
        <v>1655.0</v>
      </c>
    </row>
    <row r="397" ht="14.25" customHeight="1">
      <c r="A397" s="18">
        <v>43977.0</v>
      </c>
      <c r="B397" s="13" t="s">
        <v>9</v>
      </c>
      <c r="C397" s="13">
        <v>54.0</v>
      </c>
      <c r="D397" s="13">
        <v>14482.0</v>
      </c>
      <c r="E397" s="13">
        <v>13510.0</v>
      </c>
    </row>
    <row r="398" ht="14.25" customHeight="1">
      <c r="A398" s="18">
        <v>43977.0</v>
      </c>
      <c r="B398" s="13" t="s">
        <v>10</v>
      </c>
      <c r="C398" s="13">
        <v>59.0</v>
      </c>
      <c r="D398" s="13">
        <v>15369.0</v>
      </c>
      <c r="E398" s="13">
        <v>14299.0</v>
      </c>
    </row>
    <row r="399" ht="14.25" customHeight="1">
      <c r="A399" s="18">
        <v>43977.0</v>
      </c>
      <c r="B399" s="13" t="s">
        <v>11</v>
      </c>
      <c r="C399" s="13">
        <v>20.0</v>
      </c>
      <c r="D399" s="13">
        <v>2036.0</v>
      </c>
      <c r="E399" s="13">
        <v>1790.0</v>
      </c>
    </row>
    <row r="400" ht="14.25" customHeight="1">
      <c r="A400" s="18">
        <v>43977.0</v>
      </c>
      <c r="B400" s="13" t="s">
        <v>12</v>
      </c>
      <c r="C400" s="13">
        <v>18.0</v>
      </c>
      <c r="D400" s="13">
        <v>914.0</v>
      </c>
      <c r="E400" s="13">
        <v>804.0</v>
      </c>
    </row>
    <row r="401" ht="14.25" customHeight="1">
      <c r="A401" s="18">
        <v>43977.0</v>
      </c>
      <c r="B401" s="13" t="s">
        <v>13</v>
      </c>
      <c r="C401" s="13">
        <v>17.0</v>
      </c>
      <c r="D401" s="13">
        <v>1140.0</v>
      </c>
      <c r="E401" s="13">
        <v>1016.0</v>
      </c>
    </row>
    <row r="402" ht="14.25" customHeight="1">
      <c r="A402" s="18">
        <v>43977.0</v>
      </c>
      <c r="B402" s="13" t="s">
        <v>14</v>
      </c>
      <c r="C402" s="13">
        <v>15.0</v>
      </c>
      <c r="D402" s="13">
        <v>812.0</v>
      </c>
      <c r="E402" s="13">
        <v>711.0</v>
      </c>
    </row>
    <row r="403" ht="14.25" customHeight="1">
      <c r="A403" s="18">
        <v>43977.0</v>
      </c>
      <c r="B403" s="13" t="s">
        <v>16</v>
      </c>
      <c r="C403" s="13">
        <v>124.0</v>
      </c>
      <c r="D403" s="13">
        <v>21153.0</v>
      </c>
      <c r="E403" s="13">
        <v>19673.0</v>
      </c>
    </row>
    <row r="404" ht="14.25" customHeight="1">
      <c r="A404" s="18">
        <v>43977.0</v>
      </c>
      <c r="B404" s="13" t="s">
        <v>17</v>
      </c>
      <c r="C404" s="13">
        <v>129.0</v>
      </c>
      <c r="D404" s="13">
        <v>16459.0</v>
      </c>
      <c r="E404" s="13">
        <v>15355.0</v>
      </c>
    </row>
    <row r="405" ht="14.25" customHeight="1">
      <c r="A405" s="18">
        <v>43977.0</v>
      </c>
      <c r="B405" s="13" t="s">
        <v>18</v>
      </c>
      <c r="C405" s="13">
        <v>10.0</v>
      </c>
      <c r="D405" s="13">
        <v>692.0</v>
      </c>
      <c r="E405" s="13">
        <v>601.0</v>
      </c>
    </row>
    <row r="406" ht="14.25" customHeight="1">
      <c r="A406" s="18">
        <v>43977.0</v>
      </c>
      <c r="B406" s="13" t="s">
        <v>20</v>
      </c>
      <c r="C406" s="13">
        <v>7.0</v>
      </c>
      <c r="D406" s="13">
        <v>577.0</v>
      </c>
      <c r="E406" s="13">
        <v>389.0</v>
      </c>
    </row>
    <row r="407" ht="14.25" customHeight="1">
      <c r="A407" s="18">
        <v>43978.0</v>
      </c>
      <c r="B407" s="13" t="s">
        <v>4</v>
      </c>
      <c r="C407" s="13">
        <v>36.0</v>
      </c>
      <c r="D407" s="13">
        <v>4951.0</v>
      </c>
      <c r="E407" s="13">
        <v>4584.0</v>
      </c>
    </row>
    <row r="408" ht="14.25" customHeight="1">
      <c r="A408" s="18">
        <v>43978.0</v>
      </c>
      <c r="B408" s="13" t="s">
        <v>5</v>
      </c>
      <c r="C408" s="13">
        <v>31.0</v>
      </c>
      <c r="D408" s="13">
        <v>5330.0</v>
      </c>
      <c r="E408" s="13">
        <v>4977.0</v>
      </c>
    </row>
    <row r="409" ht="14.25" customHeight="1">
      <c r="A409" s="18">
        <v>43978.0</v>
      </c>
      <c r="B409" s="13" t="s">
        <v>6</v>
      </c>
      <c r="C409" s="13">
        <v>21.0</v>
      </c>
      <c r="D409" s="13">
        <v>2430.0</v>
      </c>
      <c r="E409" s="13">
        <v>2216.0</v>
      </c>
    </row>
    <row r="410" ht="14.25" customHeight="1">
      <c r="A410" s="18">
        <v>43978.0</v>
      </c>
      <c r="B410" s="13" t="s">
        <v>7</v>
      </c>
      <c r="C410" s="13">
        <v>20.0</v>
      </c>
      <c r="D410" s="13">
        <v>2079.0</v>
      </c>
      <c r="E410" s="13">
        <v>1893.0</v>
      </c>
    </row>
    <row r="411" ht="14.25" customHeight="1">
      <c r="A411" s="18">
        <v>43978.0</v>
      </c>
      <c r="B411" s="13" t="s">
        <v>8</v>
      </c>
      <c r="C411" s="13">
        <v>20.0</v>
      </c>
      <c r="D411" s="13">
        <v>1873.0</v>
      </c>
      <c r="E411" s="13">
        <v>1715.0</v>
      </c>
    </row>
    <row r="412" ht="14.25" customHeight="1">
      <c r="A412" s="18">
        <v>43978.0</v>
      </c>
      <c r="B412" s="13" t="s">
        <v>9</v>
      </c>
      <c r="C412" s="13">
        <v>54.0</v>
      </c>
      <c r="D412" s="13">
        <v>13091.0</v>
      </c>
      <c r="E412" s="13">
        <v>12216.0</v>
      </c>
    </row>
    <row r="413" ht="14.25" customHeight="1">
      <c r="A413" s="18">
        <v>43978.0</v>
      </c>
      <c r="B413" s="13" t="s">
        <v>10</v>
      </c>
      <c r="C413" s="13">
        <v>59.0</v>
      </c>
      <c r="D413" s="13">
        <v>13942.0</v>
      </c>
      <c r="E413" s="13">
        <v>12986.0</v>
      </c>
    </row>
    <row r="414" ht="14.25" customHeight="1">
      <c r="A414" s="18">
        <v>43978.0</v>
      </c>
      <c r="B414" s="13" t="s">
        <v>11</v>
      </c>
      <c r="C414" s="13">
        <v>20.0</v>
      </c>
      <c r="D414" s="13">
        <v>2079.0</v>
      </c>
      <c r="E414" s="13">
        <v>1856.0</v>
      </c>
    </row>
    <row r="415" ht="14.25" customHeight="1">
      <c r="A415" s="18">
        <v>43978.0</v>
      </c>
      <c r="B415" s="13" t="s">
        <v>12</v>
      </c>
      <c r="C415" s="13">
        <v>18.0</v>
      </c>
      <c r="D415" s="13">
        <v>962.0</v>
      </c>
      <c r="E415" s="13">
        <v>859.0</v>
      </c>
    </row>
    <row r="416" ht="14.25" customHeight="1">
      <c r="A416" s="18">
        <v>43978.0</v>
      </c>
      <c r="B416" s="13" t="s">
        <v>13</v>
      </c>
      <c r="C416" s="13">
        <v>17.0</v>
      </c>
      <c r="D416" s="13">
        <v>1203.0</v>
      </c>
      <c r="E416" s="13">
        <v>1077.0</v>
      </c>
    </row>
    <row r="417" ht="14.25" customHeight="1">
      <c r="A417" s="18">
        <v>43978.0</v>
      </c>
      <c r="B417" s="13" t="s">
        <v>14</v>
      </c>
      <c r="C417" s="13">
        <v>15.0</v>
      </c>
      <c r="D417" s="13">
        <v>809.0</v>
      </c>
      <c r="E417" s="13">
        <v>702.0</v>
      </c>
    </row>
    <row r="418" ht="14.25" customHeight="1">
      <c r="A418" s="18">
        <v>43978.0</v>
      </c>
      <c r="B418" s="13" t="s">
        <v>16</v>
      </c>
      <c r="C418" s="13">
        <v>124.0</v>
      </c>
      <c r="D418" s="13">
        <v>21384.0</v>
      </c>
      <c r="E418" s="13">
        <v>19897.0</v>
      </c>
    </row>
    <row r="419" ht="14.25" customHeight="1">
      <c r="A419" s="18">
        <v>43978.0</v>
      </c>
      <c r="B419" s="13" t="s">
        <v>17</v>
      </c>
      <c r="C419" s="13">
        <v>129.0</v>
      </c>
      <c r="D419" s="13">
        <v>17115.0</v>
      </c>
      <c r="E419" s="13">
        <v>15962.0</v>
      </c>
    </row>
    <row r="420" ht="14.25" customHeight="1">
      <c r="A420" s="18">
        <v>43978.0</v>
      </c>
      <c r="B420" s="13" t="s">
        <v>18</v>
      </c>
      <c r="C420" s="13">
        <v>10.0</v>
      </c>
      <c r="D420" s="13">
        <v>757.0</v>
      </c>
      <c r="E420" s="13">
        <v>660.0</v>
      </c>
    </row>
    <row r="421" ht="14.25" customHeight="1">
      <c r="A421" s="18">
        <v>43978.0</v>
      </c>
      <c r="B421" s="13" t="s">
        <v>20</v>
      </c>
      <c r="C421" s="13">
        <v>7.0</v>
      </c>
      <c r="D421" s="13">
        <v>409.0</v>
      </c>
      <c r="E421" s="13">
        <v>329.0</v>
      </c>
    </row>
    <row r="422" ht="14.25" customHeight="1">
      <c r="A422" s="18">
        <v>43979.0</v>
      </c>
      <c r="B422" s="13" t="s">
        <v>4</v>
      </c>
      <c r="C422" s="13">
        <v>37.0</v>
      </c>
      <c r="D422" s="13">
        <v>4840.0</v>
      </c>
      <c r="E422" s="13">
        <v>4475.0</v>
      </c>
    </row>
    <row r="423" ht="14.25" customHeight="1">
      <c r="A423" s="18">
        <v>43979.0</v>
      </c>
      <c r="B423" s="13" t="s">
        <v>5</v>
      </c>
      <c r="C423" s="13">
        <v>31.0</v>
      </c>
      <c r="D423" s="13">
        <v>5355.0</v>
      </c>
      <c r="E423" s="13">
        <v>4969.0</v>
      </c>
    </row>
    <row r="424" ht="14.25" customHeight="1">
      <c r="A424" s="18">
        <v>43979.0</v>
      </c>
      <c r="B424" s="13" t="s">
        <v>6</v>
      </c>
      <c r="C424" s="13">
        <v>22.0</v>
      </c>
      <c r="D424" s="13">
        <v>2454.0</v>
      </c>
      <c r="E424" s="13">
        <v>2239.0</v>
      </c>
    </row>
    <row r="425" ht="14.25" customHeight="1">
      <c r="A425" s="18">
        <v>43979.0</v>
      </c>
      <c r="B425" s="13" t="s">
        <v>7</v>
      </c>
      <c r="C425" s="13">
        <v>20.0</v>
      </c>
      <c r="D425" s="13">
        <v>1886.0</v>
      </c>
      <c r="E425" s="13">
        <v>1736.0</v>
      </c>
    </row>
    <row r="426" ht="14.25" customHeight="1">
      <c r="A426" s="18">
        <v>43979.0</v>
      </c>
      <c r="B426" s="13" t="s">
        <v>8</v>
      </c>
      <c r="C426" s="13">
        <v>20.0</v>
      </c>
      <c r="D426" s="13">
        <v>1875.0</v>
      </c>
      <c r="E426" s="13">
        <v>1701.0</v>
      </c>
    </row>
    <row r="427" ht="14.25" customHeight="1">
      <c r="A427" s="18">
        <v>43979.0</v>
      </c>
      <c r="B427" s="13" t="s">
        <v>9</v>
      </c>
      <c r="C427" s="13">
        <v>54.0</v>
      </c>
      <c r="D427" s="13">
        <v>12409.0</v>
      </c>
      <c r="E427" s="13">
        <v>11582.0</v>
      </c>
    </row>
    <row r="428" ht="14.25" customHeight="1">
      <c r="A428" s="18">
        <v>43979.0</v>
      </c>
      <c r="B428" s="13" t="s">
        <v>10</v>
      </c>
      <c r="C428" s="13">
        <v>60.0</v>
      </c>
      <c r="D428" s="13">
        <v>12854.0</v>
      </c>
      <c r="E428" s="13">
        <v>11954.0</v>
      </c>
    </row>
    <row r="429" ht="14.25" customHeight="1">
      <c r="A429" s="18">
        <v>43979.0</v>
      </c>
      <c r="B429" s="13" t="s">
        <v>11</v>
      </c>
      <c r="C429" s="13">
        <v>20.0</v>
      </c>
      <c r="D429" s="13">
        <v>2088.0</v>
      </c>
      <c r="E429" s="13">
        <v>1848.0</v>
      </c>
    </row>
    <row r="430" ht="14.25" customHeight="1">
      <c r="A430" s="18">
        <v>43979.0</v>
      </c>
      <c r="B430" s="13" t="s">
        <v>12</v>
      </c>
      <c r="C430" s="13">
        <v>18.0</v>
      </c>
      <c r="D430" s="13">
        <v>1020.0</v>
      </c>
      <c r="E430" s="13">
        <v>911.0</v>
      </c>
    </row>
    <row r="431" ht="14.25" customHeight="1">
      <c r="A431" s="18">
        <v>43979.0</v>
      </c>
      <c r="B431" s="13" t="s">
        <v>13</v>
      </c>
      <c r="C431" s="13">
        <v>17.0</v>
      </c>
      <c r="D431" s="13">
        <v>1097.0</v>
      </c>
      <c r="E431" s="13">
        <v>968.0</v>
      </c>
    </row>
    <row r="432" ht="14.25" customHeight="1">
      <c r="A432" s="18">
        <v>43979.0</v>
      </c>
      <c r="B432" s="13" t="s">
        <v>14</v>
      </c>
      <c r="C432" s="13">
        <v>16.0</v>
      </c>
      <c r="D432" s="13">
        <v>876.0</v>
      </c>
      <c r="E432" s="13">
        <v>762.0</v>
      </c>
    </row>
    <row r="433" ht="14.25" customHeight="1">
      <c r="A433" s="18">
        <v>43979.0</v>
      </c>
      <c r="B433" s="13" t="s">
        <v>15</v>
      </c>
      <c r="C433" s="13">
        <v>15.0</v>
      </c>
      <c r="D433" s="13">
        <v>464.0</v>
      </c>
      <c r="E433" s="13">
        <v>390.0</v>
      </c>
    </row>
    <row r="434" ht="14.25" customHeight="1">
      <c r="A434" s="18">
        <v>43979.0</v>
      </c>
      <c r="B434" s="13" t="s">
        <v>16</v>
      </c>
      <c r="C434" s="13">
        <v>124.0</v>
      </c>
      <c r="D434" s="13">
        <v>20868.0</v>
      </c>
      <c r="E434" s="13">
        <v>19342.0</v>
      </c>
    </row>
    <row r="435" ht="14.25" customHeight="1">
      <c r="A435" s="18">
        <v>43979.0</v>
      </c>
      <c r="B435" s="13" t="s">
        <v>17</v>
      </c>
      <c r="C435" s="13">
        <v>129.0</v>
      </c>
      <c r="D435" s="13">
        <v>16453.0</v>
      </c>
      <c r="E435" s="13">
        <v>15289.0</v>
      </c>
    </row>
    <row r="436" ht="14.25" customHeight="1">
      <c r="A436" s="18">
        <v>43979.0</v>
      </c>
      <c r="B436" s="13" t="s">
        <v>18</v>
      </c>
      <c r="C436" s="13">
        <v>10.0</v>
      </c>
      <c r="D436" s="13">
        <v>791.0</v>
      </c>
      <c r="E436" s="13">
        <v>697.0</v>
      </c>
    </row>
    <row r="437" ht="14.25" customHeight="1">
      <c r="A437" s="18">
        <v>43979.0</v>
      </c>
      <c r="B437" s="13" t="s">
        <v>20</v>
      </c>
      <c r="C437" s="13">
        <v>7.0</v>
      </c>
      <c r="D437" s="13">
        <v>420.0</v>
      </c>
      <c r="E437" s="13">
        <v>347.0</v>
      </c>
    </row>
    <row r="438" ht="14.25" customHeight="1">
      <c r="A438" s="18">
        <v>43980.0</v>
      </c>
      <c r="B438" s="13" t="s">
        <v>4</v>
      </c>
      <c r="C438" s="13">
        <v>37.0</v>
      </c>
      <c r="D438" s="13">
        <v>5672.0</v>
      </c>
      <c r="E438" s="13">
        <v>5198.0</v>
      </c>
    </row>
    <row r="439" ht="14.25" customHeight="1">
      <c r="A439" s="18">
        <v>43980.0</v>
      </c>
      <c r="B439" s="13" t="s">
        <v>5</v>
      </c>
      <c r="C439" s="13">
        <v>31.0</v>
      </c>
      <c r="D439" s="13">
        <v>5751.0</v>
      </c>
      <c r="E439" s="13">
        <v>5319.0</v>
      </c>
    </row>
    <row r="440" ht="14.25" customHeight="1">
      <c r="A440" s="18">
        <v>43980.0</v>
      </c>
      <c r="B440" s="13" t="s">
        <v>6</v>
      </c>
      <c r="C440" s="13">
        <v>22.0</v>
      </c>
      <c r="D440" s="13">
        <v>2597.0</v>
      </c>
      <c r="E440" s="13">
        <v>2379.0</v>
      </c>
    </row>
    <row r="441" ht="14.25" customHeight="1">
      <c r="A441" s="18">
        <v>43980.0</v>
      </c>
      <c r="B441" s="13" t="s">
        <v>7</v>
      </c>
      <c r="C441" s="13">
        <v>20.0</v>
      </c>
      <c r="D441" s="13">
        <v>2111.0</v>
      </c>
      <c r="E441" s="13">
        <v>1917.0</v>
      </c>
    </row>
    <row r="442" ht="14.25" customHeight="1">
      <c r="A442" s="18">
        <v>43980.0</v>
      </c>
      <c r="B442" s="13" t="s">
        <v>8</v>
      </c>
      <c r="C442" s="13">
        <v>20.0</v>
      </c>
      <c r="D442" s="13">
        <v>2064.0</v>
      </c>
      <c r="E442" s="13">
        <v>1896.0</v>
      </c>
    </row>
    <row r="443" ht="14.25" customHeight="1">
      <c r="A443" s="18">
        <v>43980.0</v>
      </c>
      <c r="B443" s="13" t="s">
        <v>9</v>
      </c>
      <c r="C443" s="13">
        <v>54.0</v>
      </c>
      <c r="D443" s="13">
        <v>14031.0</v>
      </c>
      <c r="E443" s="13">
        <v>12943.0</v>
      </c>
    </row>
    <row r="444" ht="14.25" customHeight="1">
      <c r="A444" s="18">
        <v>43980.0</v>
      </c>
      <c r="B444" s="13" t="s">
        <v>10</v>
      </c>
      <c r="C444" s="13">
        <v>59.0</v>
      </c>
      <c r="D444" s="13">
        <v>14507.0</v>
      </c>
      <c r="E444" s="13">
        <v>13386.0</v>
      </c>
    </row>
    <row r="445" ht="14.25" customHeight="1">
      <c r="A445" s="18">
        <v>43980.0</v>
      </c>
      <c r="B445" s="13" t="s">
        <v>11</v>
      </c>
      <c r="C445" s="13">
        <v>20.0</v>
      </c>
      <c r="D445" s="13">
        <v>2249.0</v>
      </c>
      <c r="E445" s="13">
        <v>2000.0</v>
      </c>
    </row>
    <row r="446" ht="14.25" customHeight="1">
      <c r="A446" s="18">
        <v>43980.0</v>
      </c>
      <c r="B446" s="13" t="s">
        <v>12</v>
      </c>
      <c r="C446" s="13">
        <v>18.0</v>
      </c>
      <c r="D446" s="13">
        <v>1014.0</v>
      </c>
      <c r="E446" s="13">
        <v>893.0</v>
      </c>
    </row>
    <row r="447" ht="14.25" customHeight="1">
      <c r="A447" s="18">
        <v>43980.0</v>
      </c>
      <c r="B447" s="13" t="s">
        <v>13</v>
      </c>
      <c r="C447" s="13">
        <v>17.0</v>
      </c>
      <c r="D447" s="13">
        <v>1296.0</v>
      </c>
      <c r="E447" s="13">
        <v>1153.0</v>
      </c>
    </row>
    <row r="448" ht="14.25" customHeight="1">
      <c r="A448" s="18">
        <v>43980.0</v>
      </c>
      <c r="B448" s="13" t="s">
        <v>14</v>
      </c>
      <c r="C448" s="13">
        <v>16.0</v>
      </c>
      <c r="D448" s="13">
        <v>981.0</v>
      </c>
      <c r="E448" s="13">
        <v>859.0</v>
      </c>
    </row>
    <row r="449" ht="14.25" customHeight="1">
      <c r="A449" s="18">
        <v>43980.0</v>
      </c>
      <c r="B449" s="13" t="s">
        <v>15</v>
      </c>
      <c r="C449" s="13">
        <v>15.0</v>
      </c>
      <c r="D449" s="13">
        <v>400.0</v>
      </c>
      <c r="E449" s="13">
        <v>329.0</v>
      </c>
    </row>
    <row r="450" ht="14.25" customHeight="1">
      <c r="A450" s="18">
        <v>43980.0</v>
      </c>
      <c r="B450" s="13" t="s">
        <v>16</v>
      </c>
      <c r="C450" s="13">
        <v>124.0</v>
      </c>
      <c r="D450" s="13">
        <v>25828.0</v>
      </c>
      <c r="E450" s="13">
        <v>23974.0</v>
      </c>
    </row>
    <row r="451" ht="14.25" customHeight="1">
      <c r="A451" s="18">
        <v>43980.0</v>
      </c>
      <c r="B451" s="13" t="s">
        <v>17</v>
      </c>
      <c r="C451" s="13">
        <v>129.0</v>
      </c>
      <c r="D451" s="13">
        <v>22403.0</v>
      </c>
      <c r="E451" s="13">
        <v>20676.0</v>
      </c>
    </row>
    <row r="452" ht="14.25" customHeight="1">
      <c r="A452" s="18">
        <v>43980.0</v>
      </c>
      <c r="B452" s="13" t="s">
        <v>18</v>
      </c>
      <c r="C452" s="13">
        <v>10.0</v>
      </c>
      <c r="D452" s="13">
        <v>873.0</v>
      </c>
      <c r="E452" s="13">
        <v>770.0</v>
      </c>
    </row>
    <row r="453" ht="14.25" customHeight="1">
      <c r="A453" s="18">
        <v>43980.0</v>
      </c>
      <c r="B453" s="13" t="s">
        <v>20</v>
      </c>
      <c r="C453" s="13">
        <v>7.0</v>
      </c>
      <c r="D453" s="13">
        <v>491.0</v>
      </c>
      <c r="E453" s="13">
        <v>411.0</v>
      </c>
    </row>
    <row r="454" ht="14.25" customHeight="1">
      <c r="A454" s="18">
        <v>43981.0</v>
      </c>
      <c r="B454" s="13" t="s">
        <v>4</v>
      </c>
      <c r="C454" s="13">
        <v>37.0</v>
      </c>
      <c r="D454" s="13">
        <v>6645.0</v>
      </c>
      <c r="E454" s="13">
        <v>6122.0</v>
      </c>
    </row>
    <row r="455" ht="14.25" customHeight="1">
      <c r="A455" s="18">
        <v>43981.0</v>
      </c>
      <c r="B455" s="13" t="s">
        <v>5</v>
      </c>
      <c r="C455" s="13">
        <v>31.0</v>
      </c>
      <c r="D455" s="13">
        <v>6735.0</v>
      </c>
      <c r="E455" s="13">
        <v>6264.0</v>
      </c>
    </row>
    <row r="456" ht="14.25" customHeight="1">
      <c r="A456" s="18">
        <v>43981.0</v>
      </c>
      <c r="B456" s="13" t="s">
        <v>6</v>
      </c>
      <c r="C456" s="13">
        <v>22.0</v>
      </c>
      <c r="D456" s="13">
        <v>2793.0</v>
      </c>
      <c r="E456" s="13">
        <v>2539.0</v>
      </c>
    </row>
    <row r="457" ht="14.25" customHeight="1">
      <c r="A457" s="18">
        <v>43981.0</v>
      </c>
      <c r="B457" s="13" t="s">
        <v>7</v>
      </c>
      <c r="C457" s="13">
        <v>20.0</v>
      </c>
      <c r="D457" s="13">
        <v>2597.0</v>
      </c>
      <c r="E457" s="13">
        <v>2376.0</v>
      </c>
    </row>
    <row r="458" ht="14.25" customHeight="1">
      <c r="A458" s="18">
        <v>43981.0</v>
      </c>
      <c r="B458" s="13" t="s">
        <v>8</v>
      </c>
      <c r="C458" s="13">
        <v>20.0</v>
      </c>
      <c r="D458" s="13">
        <v>2174.0</v>
      </c>
      <c r="E458" s="13">
        <v>1957.0</v>
      </c>
    </row>
    <row r="459" ht="14.25" customHeight="1">
      <c r="A459" s="18">
        <v>43981.0</v>
      </c>
      <c r="B459" s="13" t="s">
        <v>9</v>
      </c>
      <c r="C459" s="13">
        <v>54.0</v>
      </c>
      <c r="D459" s="13">
        <v>14590.0</v>
      </c>
      <c r="E459" s="13">
        <v>13551.0</v>
      </c>
    </row>
    <row r="460" ht="14.25" customHeight="1">
      <c r="A460" s="18">
        <v>43981.0</v>
      </c>
      <c r="B460" s="13" t="s">
        <v>10</v>
      </c>
      <c r="C460" s="13">
        <v>59.0</v>
      </c>
      <c r="D460" s="13">
        <v>15030.0</v>
      </c>
      <c r="E460" s="13">
        <v>13956.0</v>
      </c>
    </row>
    <row r="461" ht="14.25" customHeight="1">
      <c r="A461" s="18">
        <v>43981.0</v>
      </c>
      <c r="B461" s="13" t="s">
        <v>11</v>
      </c>
      <c r="C461" s="13">
        <v>20.0</v>
      </c>
      <c r="D461" s="13">
        <v>2451.0</v>
      </c>
      <c r="E461" s="13">
        <v>2178.0</v>
      </c>
    </row>
    <row r="462" ht="14.25" customHeight="1">
      <c r="A462" s="18">
        <v>43981.0</v>
      </c>
      <c r="B462" s="13" t="s">
        <v>12</v>
      </c>
      <c r="C462" s="13">
        <v>18.0</v>
      </c>
      <c r="D462" s="13">
        <v>1216.0</v>
      </c>
      <c r="E462" s="13">
        <v>1101.0</v>
      </c>
    </row>
    <row r="463" ht="14.25" customHeight="1">
      <c r="A463" s="18">
        <v>43981.0</v>
      </c>
      <c r="B463" s="13" t="s">
        <v>13</v>
      </c>
      <c r="C463" s="13">
        <v>17.0</v>
      </c>
      <c r="D463" s="13">
        <v>1697.0</v>
      </c>
      <c r="E463" s="13">
        <v>1499.0</v>
      </c>
    </row>
    <row r="464" ht="14.25" customHeight="1">
      <c r="A464" s="18">
        <v>43981.0</v>
      </c>
      <c r="B464" s="13" t="s">
        <v>14</v>
      </c>
      <c r="C464" s="13">
        <v>16.0</v>
      </c>
      <c r="D464" s="13">
        <v>1048.0</v>
      </c>
      <c r="E464" s="13">
        <v>918.0</v>
      </c>
    </row>
    <row r="465" ht="14.25" customHeight="1">
      <c r="A465" s="18">
        <v>43981.0</v>
      </c>
      <c r="B465" s="13" t="s">
        <v>15</v>
      </c>
      <c r="C465" s="13">
        <v>15.0</v>
      </c>
      <c r="D465" s="13">
        <v>490.0</v>
      </c>
      <c r="E465" s="13">
        <v>409.0</v>
      </c>
    </row>
    <row r="466" ht="14.25" customHeight="1">
      <c r="A466" s="18">
        <v>43981.0</v>
      </c>
      <c r="B466" s="13" t="s">
        <v>16</v>
      </c>
      <c r="C466" s="13">
        <v>124.0</v>
      </c>
      <c r="D466" s="13">
        <v>24325.0</v>
      </c>
      <c r="E466" s="13">
        <v>22469.0</v>
      </c>
    </row>
    <row r="467" ht="14.25" customHeight="1">
      <c r="A467" s="18">
        <v>43981.0</v>
      </c>
      <c r="B467" s="13" t="s">
        <v>17</v>
      </c>
      <c r="C467" s="13">
        <v>129.0</v>
      </c>
      <c r="D467" s="13">
        <v>20243.0</v>
      </c>
      <c r="E467" s="13">
        <v>18711.0</v>
      </c>
    </row>
    <row r="468" ht="14.25" customHeight="1">
      <c r="A468" s="18">
        <v>43981.0</v>
      </c>
      <c r="B468" s="13" t="s">
        <v>18</v>
      </c>
      <c r="C468" s="13">
        <v>10.0</v>
      </c>
      <c r="D468" s="13">
        <v>865.0</v>
      </c>
      <c r="E468" s="13">
        <v>763.0</v>
      </c>
    </row>
    <row r="469" ht="14.25" customHeight="1">
      <c r="A469" s="18">
        <v>43981.0</v>
      </c>
      <c r="B469" s="13" t="s">
        <v>20</v>
      </c>
      <c r="C469" s="13">
        <v>7.0</v>
      </c>
      <c r="D469" s="13">
        <v>532.0</v>
      </c>
      <c r="E469" s="13">
        <v>449.0</v>
      </c>
    </row>
    <row r="470" ht="14.25" customHeight="1">
      <c r="A470" s="18">
        <v>43982.0</v>
      </c>
      <c r="B470" s="13" t="s">
        <v>4</v>
      </c>
      <c r="C470" s="13">
        <v>37.0</v>
      </c>
      <c r="D470" s="13">
        <v>5215.0</v>
      </c>
      <c r="E470" s="13">
        <v>4848.0</v>
      </c>
    </row>
    <row r="471" ht="14.25" customHeight="1">
      <c r="A471" s="18">
        <v>43982.0</v>
      </c>
      <c r="B471" s="13" t="s">
        <v>5</v>
      </c>
      <c r="C471" s="13">
        <v>31.0</v>
      </c>
      <c r="D471" s="13">
        <v>5760.0</v>
      </c>
      <c r="E471" s="13">
        <v>5367.0</v>
      </c>
    </row>
    <row r="472" ht="14.25" customHeight="1">
      <c r="A472" s="18">
        <v>43982.0</v>
      </c>
      <c r="B472" s="13" t="s">
        <v>6</v>
      </c>
      <c r="C472" s="13">
        <v>23.0</v>
      </c>
      <c r="D472" s="13">
        <v>2522.0</v>
      </c>
      <c r="E472" s="13">
        <v>2295.0</v>
      </c>
    </row>
    <row r="473" ht="14.25" customHeight="1">
      <c r="A473" s="18">
        <v>43982.0</v>
      </c>
      <c r="B473" s="13" t="s">
        <v>7</v>
      </c>
      <c r="C473" s="13">
        <v>21.0</v>
      </c>
      <c r="D473" s="13">
        <v>2271.0</v>
      </c>
      <c r="E473" s="13">
        <v>2085.0</v>
      </c>
    </row>
    <row r="474" ht="14.25" customHeight="1">
      <c r="A474" s="18">
        <v>43982.0</v>
      </c>
      <c r="B474" s="13" t="s">
        <v>8</v>
      </c>
      <c r="C474" s="13">
        <v>21.0</v>
      </c>
      <c r="D474" s="13">
        <v>2056.0</v>
      </c>
      <c r="E474" s="13">
        <v>1879.0</v>
      </c>
    </row>
    <row r="475" ht="14.25" customHeight="1">
      <c r="A475" s="18">
        <v>43982.0</v>
      </c>
      <c r="B475" s="13" t="s">
        <v>9</v>
      </c>
      <c r="C475" s="13">
        <v>54.0</v>
      </c>
      <c r="D475" s="13">
        <v>13106.0</v>
      </c>
      <c r="E475" s="13">
        <v>12164.0</v>
      </c>
    </row>
    <row r="476" ht="14.25" customHeight="1">
      <c r="A476" s="18">
        <v>43982.0</v>
      </c>
      <c r="B476" s="13" t="s">
        <v>10</v>
      </c>
      <c r="C476" s="13">
        <v>59.0</v>
      </c>
      <c r="D476" s="13">
        <v>13684.0</v>
      </c>
      <c r="E476" s="13">
        <v>12690.0</v>
      </c>
    </row>
    <row r="477" ht="14.25" customHeight="1">
      <c r="A477" s="18">
        <v>43982.0</v>
      </c>
      <c r="B477" s="13" t="s">
        <v>11</v>
      </c>
      <c r="C477" s="13">
        <v>20.0</v>
      </c>
      <c r="D477" s="13">
        <v>2060.0</v>
      </c>
      <c r="E477" s="13">
        <v>1826.0</v>
      </c>
    </row>
    <row r="478" ht="14.25" customHeight="1">
      <c r="A478" s="18">
        <v>43982.0</v>
      </c>
      <c r="B478" s="13" t="s">
        <v>12</v>
      </c>
      <c r="C478" s="13">
        <v>18.0</v>
      </c>
      <c r="D478" s="13">
        <v>1029.0</v>
      </c>
      <c r="E478" s="13">
        <v>925.0</v>
      </c>
    </row>
    <row r="479" ht="14.25" customHeight="1">
      <c r="A479" s="18">
        <v>43982.0</v>
      </c>
      <c r="B479" s="13" t="s">
        <v>13</v>
      </c>
      <c r="C479" s="13">
        <v>17.0</v>
      </c>
      <c r="D479" s="13">
        <v>1186.0</v>
      </c>
      <c r="E479" s="13">
        <v>1054.0</v>
      </c>
    </row>
    <row r="480" ht="14.25" customHeight="1">
      <c r="A480" s="18">
        <v>43982.0</v>
      </c>
      <c r="B480" s="13" t="s">
        <v>14</v>
      </c>
      <c r="C480" s="13">
        <v>16.0</v>
      </c>
      <c r="D480" s="13">
        <v>917.0</v>
      </c>
      <c r="E480" s="13">
        <v>802.0</v>
      </c>
    </row>
    <row r="481" ht="14.25" customHeight="1">
      <c r="A481" s="18">
        <v>43982.0</v>
      </c>
      <c r="B481" s="13" t="s">
        <v>15</v>
      </c>
      <c r="C481" s="13">
        <v>15.0</v>
      </c>
      <c r="D481" s="13">
        <v>441.0</v>
      </c>
      <c r="E481" s="13">
        <v>368.0</v>
      </c>
    </row>
    <row r="482" ht="14.25" customHeight="1">
      <c r="A482" s="18">
        <v>43982.0</v>
      </c>
      <c r="B482" s="13" t="s">
        <v>16</v>
      </c>
      <c r="C482" s="13">
        <v>124.0</v>
      </c>
      <c r="D482" s="13">
        <v>21392.0</v>
      </c>
      <c r="E482" s="13">
        <v>19869.0</v>
      </c>
    </row>
    <row r="483" ht="14.25" customHeight="1">
      <c r="A483" s="18">
        <v>43982.0</v>
      </c>
      <c r="B483" s="13" t="s">
        <v>17</v>
      </c>
      <c r="C483" s="13">
        <v>129.0</v>
      </c>
      <c r="D483" s="13">
        <v>17235.0</v>
      </c>
      <c r="E483" s="13">
        <v>16052.0</v>
      </c>
    </row>
    <row r="484" ht="14.25" customHeight="1">
      <c r="A484" s="18">
        <v>43982.0</v>
      </c>
      <c r="B484" s="13" t="s">
        <v>18</v>
      </c>
      <c r="C484" s="13">
        <v>10.0</v>
      </c>
      <c r="D484" s="13">
        <v>749.0</v>
      </c>
      <c r="E484" s="13">
        <v>655.0</v>
      </c>
    </row>
    <row r="485" ht="14.25" customHeight="1">
      <c r="A485" s="18">
        <v>43982.0</v>
      </c>
      <c r="B485" s="13" t="s">
        <v>19</v>
      </c>
      <c r="C485" s="13">
        <v>9.0</v>
      </c>
      <c r="D485" s="13">
        <v>345.0</v>
      </c>
      <c r="E485" s="13">
        <v>255.0</v>
      </c>
    </row>
    <row r="486" ht="14.25" customHeight="1">
      <c r="A486" s="18">
        <v>43982.0</v>
      </c>
      <c r="B486" s="13" t="s">
        <v>20</v>
      </c>
      <c r="C486" s="13">
        <v>7.0</v>
      </c>
      <c r="D486" s="13">
        <v>530.0</v>
      </c>
      <c r="E486" s="13">
        <v>447.0</v>
      </c>
    </row>
    <row r="487" ht="14.25" customHeight="1">
      <c r="A487" s="18">
        <v>43982.0</v>
      </c>
      <c r="B487" s="13" t="s">
        <v>21</v>
      </c>
      <c r="C487" s="13">
        <v>6.0</v>
      </c>
      <c r="D487" s="13">
        <v>261.0</v>
      </c>
      <c r="E487" s="13">
        <v>188.0</v>
      </c>
    </row>
    <row r="488" ht="14.25" customHeight="1">
      <c r="A488" s="18">
        <v>43983.0</v>
      </c>
      <c r="B488" s="13" t="s">
        <v>4</v>
      </c>
      <c r="C488" s="13">
        <v>37.0</v>
      </c>
      <c r="D488" s="13">
        <v>4722.0</v>
      </c>
      <c r="E488" s="13">
        <v>4352.0</v>
      </c>
    </row>
    <row r="489" ht="14.25" customHeight="1">
      <c r="A489" s="18">
        <v>43983.0</v>
      </c>
      <c r="B489" s="13" t="s">
        <v>5</v>
      </c>
      <c r="C489" s="13">
        <v>31.0</v>
      </c>
      <c r="D489" s="13">
        <v>5468.0</v>
      </c>
      <c r="E489" s="13">
        <v>5081.0</v>
      </c>
    </row>
    <row r="490" ht="14.25" customHeight="1">
      <c r="A490" s="18">
        <v>43983.0</v>
      </c>
      <c r="B490" s="13" t="s">
        <v>6</v>
      </c>
      <c r="C490" s="13">
        <v>23.0</v>
      </c>
      <c r="D490" s="13">
        <v>2531.0</v>
      </c>
      <c r="E490" s="13">
        <v>2296.0</v>
      </c>
    </row>
    <row r="491" ht="14.25" customHeight="1">
      <c r="A491" s="18">
        <v>43983.0</v>
      </c>
      <c r="B491" s="13" t="s">
        <v>7</v>
      </c>
      <c r="C491" s="13">
        <v>21.0</v>
      </c>
      <c r="D491" s="13">
        <v>2025.0</v>
      </c>
      <c r="E491" s="13">
        <v>1849.0</v>
      </c>
    </row>
    <row r="492" ht="14.25" customHeight="1">
      <c r="A492" s="18">
        <v>43983.0</v>
      </c>
      <c r="B492" s="13" t="s">
        <v>8</v>
      </c>
      <c r="C492" s="13">
        <v>21.0</v>
      </c>
      <c r="D492" s="13">
        <v>1879.0</v>
      </c>
      <c r="E492" s="13">
        <v>1720.0</v>
      </c>
    </row>
    <row r="493" ht="14.25" customHeight="1">
      <c r="A493" s="18">
        <v>43983.0</v>
      </c>
      <c r="B493" s="13" t="s">
        <v>9</v>
      </c>
      <c r="C493" s="13">
        <v>54.0</v>
      </c>
      <c r="D493" s="13">
        <v>11864.0</v>
      </c>
      <c r="E493" s="13">
        <v>11071.0</v>
      </c>
    </row>
    <row r="494" ht="14.25" customHeight="1">
      <c r="A494" s="18">
        <v>43983.0</v>
      </c>
      <c r="B494" s="13" t="s">
        <v>10</v>
      </c>
      <c r="C494" s="13">
        <v>59.0</v>
      </c>
      <c r="D494" s="13">
        <v>12299.0</v>
      </c>
      <c r="E494" s="13">
        <v>11448.0</v>
      </c>
    </row>
    <row r="495" ht="14.25" customHeight="1">
      <c r="A495" s="18">
        <v>43983.0</v>
      </c>
      <c r="B495" s="13" t="s">
        <v>11</v>
      </c>
      <c r="C495" s="13">
        <v>20.0</v>
      </c>
      <c r="D495" s="13">
        <v>2136.0</v>
      </c>
      <c r="E495" s="13">
        <v>1899.0</v>
      </c>
    </row>
    <row r="496" ht="14.25" customHeight="1">
      <c r="A496" s="18">
        <v>43983.0</v>
      </c>
      <c r="B496" s="13" t="s">
        <v>12</v>
      </c>
      <c r="C496" s="13">
        <v>18.0</v>
      </c>
      <c r="D496" s="13">
        <v>923.0</v>
      </c>
      <c r="E496" s="13">
        <v>824.0</v>
      </c>
    </row>
    <row r="497" ht="14.25" customHeight="1">
      <c r="A497" s="18">
        <v>43983.0</v>
      </c>
      <c r="B497" s="13" t="s">
        <v>13</v>
      </c>
      <c r="C497" s="13">
        <v>17.0</v>
      </c>
      <c r="D497" s="13">
        <v>1185.0</v>
      </c>
      <c r="E497" s="13">
        <v>1042.0</v>
      </c>
    </row>
    <row r="498" ht="14.25" customHeight="1">
      <c r="A498" s="18">
        <v>43983.0</v>
      </c>
      <c r="B498" s="13" t="s">
        <v>14</v>
      </c>
      <c r="C498" s="13">
        <v>16.0</v>
      </c>
      <c r="D498" s="13">
        <v>1019.0</v>
      </c>
      <c r="E498" s="13">
        <v>895.0</v>
      </c>
    </row>
    <row r="499" ht="14.25" customHeight="1">
      <c r="A499" s="18">
        <v>43983.0</v>
      </c>
      <c r="B499" s="13" t="s">
        <v>15</v>
      </c>
      <c r="C499" s="13">
        <v>15.0</v>
      </c>
      <c r="D499" s="13">
        <v>453.0</v>
      </c>
      <c r="E499" s="13">
        <v>370.0</v>
      </c>
    </row>
    <row r="500" ht="14.25" customHeight="1">
      <c r="A500" s="18">
        <v>43983.0</v>
      </c>
      <c r="B500" s="13" t="s">
        <v>16</v>
      </c>
      <c r="C500" s="13">
        <v>123.0</v>
      </c>
      <c r="D500" s="13">
        <v>20325.0</v>
      </c>
      <c r="E500" s="13">
        <v>18935.0</v>
      </c>
    </row>
    <row r="501" ht="14.25" customHeight="1">
      <c r="A501" s="18">
        <v>43983.0</v>
      </c>
      <c r="B501" s="13" t="s">
        <v>17</v>
      </c>
      <c r="C501" s="13">
        <v>128.0</v>
      </c>
      <c r="D501" s="13">
        <v>16285.0</v>
      </c>
      <c r="E501" s="13">
        <v>15130.0</v>
      </c>
    </row>
    <row r="502" ht="14.25" customHeight="1">
      <c r="A502" s="18">
        <v>43983.0</v>
      </c>
      <c r="B502" s="13" t="s">
        <v>18</v>
      </c>
      <c r="C502" s="13">
        <v>10.0</v>
      </c>
      <c r="D502" s="13">
        <v>719.0</v>
      </c>
      <c r="E502" s="13">
        <v>627.0</v>
      </c>
    </row>
    <row r="503" ht="14.25" customHeight="1">
      <c r="A503" s="18">
        <v>43983.0</v>
      </c>
      <c r="B503" s="13" t="s">
        <v>19</v>
      </c>
      <c r="C503" s="13">
        <v>9.0</v>
      </c>
      <c r="D503" s="13">
        <v>294.0</v>
      </c>
      <c r="E503" s="13">
        <v>224.0</v>
      </c>
    </row>
    <row r="504" ht="14.25" customHeight="1">
      <c r="A504" s="18">
        <v>43983.0</v>
      </c>
      <c r="B504" s="13" t="s">
        <v>20</v>
      </c>
      <c r="C504" s="13">
        <v>7.0</v>
      </c>
      <c r="D504" s="13">
        <v>500.0</v>
      </c>
      <c r="E504" s="13">
        <v>418.0</v>
      </c>
    </row>
    <row r="505" ht="14.25" customHeight="1">
      <c r="A505" s="18">
        <v>43983.0</v>
      </c>
      <c r="B505" s="13" t="s">
        <v>21</v>
      </c>
      <c r="C505" s="13">
        <v>6.0</v>
      </c>
      <c r="D505" s="13">
        <v>237.0</v>
      </c>
      <c r="E505" s="13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